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ver" sheetId="1" state="visible" r:id="rId1"/>
    <sheet xmlns:r="http://schemas.openxmlformats.org/officeDocument/2006/relationships" name="Test Cases" sheetId="2" state="visible" r:id="rId2"/>
    <sheet xmlns:r="http://schemas.openxmlformats.org/officeDocument/2006/relationships" name="Test Statistic" sheetId="3" state="visible" r:id="rId3"/>
    <sheet xmlns:r="http://schemas.openxmlformats.org/officeDocument/2006/relationships" name="Report Generation &amp; Business An" sheetId="4" state="visible" r:id="rId4"/>
    <sheet xmlns:r="http://schemas.openxmlformats.org/officeDocument/2006/relationships" name="Financial Cash Flow Recording" sheetId="5" state="visible" r:id="rId5"/>
    <sheet xmlns:r="http://schemas.openxmlformats.org/officeDocument/2006/relationships" name="Stocktaking &amp; Inventory Reconci" sheetId="6" state="visible" r:id="rId6"/>
    <sheet xmlns:r="http://schemas.openxmlformats.org/officeDocument/2006/relationships" name="Point of Sale (POS) Order &amp; Pay" sheetId="7" state="visible" r:id="rId7"/>
    <sheet xmlns:r="http://schemas.openxmlformats.org/officeDocument/2006/relationships" name="User Account &amp; Role Configurati" sheetId="8" state="visible" r:id="rId8"/>
    <sheet xmlns:r="http://schemas.openxmlformats.org/officeDocument/2006/relationships" name="Goods Importation &amp; Inventory U" sheetId="9" state="visible" r:id="rId9"/>
  </sheets>
  <definedNames/>
  <calcPr calcId="124519" fullCalcOnLoad="1"/>
</workbook>
</file>

<file path=xl/styles.xml><?xml version="1.0" encoding="utf-8"?>
<styleSheet xmlns="http://schemas.openxmlformats.org/spreadsheetml/2006/main">
  <numFmts count="3">
    <numFmt numFmtId="164" formatCode="dd/mm/yyyy"/>
    <numFmt numFmtId="165" formatCode="d/m/yyyy"/>
    <numFmt numFmtId="166" formatCode="yyyy-mm-dd h:mm:ss"/>
  </numFmts>
  <fonts count="38">
    <font>
      <name val="Arial"/>
      <color rgb="FF000000"/>
      <sz val="10"/>
      <scheme val="minor"/>
    </font>
    <font>
      <name val="Times New Roman"/>
      <b val="1"/>
      <color theme="1"/>
      <sz val="12"/>
    </font>
    <font>
      <name val="Tahoma"/>
      <b val="1"/>
      <color theme="1"/>
      <sz val="20"/>
    </font>
    <font>
      <name val="Times New Roman"/>
      <b val="1"/>
      <color rgb="FF993300"/>
      <sz val="12"/>
    </font>
    <font>
      <name val="Arial"/>
      <color theme="1"/>
    </font>
    <font/>
    <font>
      <name val="Times New Roman"/>
      <color rgb="FF101010"/>
      <sz val="11"/>
    </font>
    <font>
      <name val="Times New Roman"/>
      <i val="1"/>
      <color rgb="FF008000"/>
      <sz val="12"/>
    </font>
    <font>
      <name val="Times New Roman"/>
      <color theme="1"/>
    </font>
    <font>
      <name val="Times New Roman"/>
      <b val="1"/>
      <color rgb="FFFFFFFF"/>
    </font>
    <font>
      <name val="Times New Roman"/>
      <color theme="1"/>
      <sz val="12"/>
    </font>
    <font>
      <name val="Times New Roman"/>
      <b val="1"/>
      <color theme="1"/>
      <sz val="20"/>
    </font>
    <font>
      <name val="Times New Roman"/>
      <b val="1"/>
      <i val="1"/>
      <color theme="1"/>
      <sz val="12"/>
    </font>
    <font>
      <name val="Times New Roman"/>
      <b val="1"/>
      <color theme="1"/>
    </font>
    <font>
      <name val="Times New Roman"/>
      <i val="1"/>
      <color theme="1"/>
    </font>
    <font>
      <name val="Times New Roman"/>
      <color rgb="FF0000FF"/>
      <u val="single"/>
    </font>
    <font>
      <name val="Tahoma"/>
      <b val="1"/>
      <color theme="1"/>
    </font>
    <font>
      <name val="Times New Roman"/>
      <color rgb="FF434343"/>
    </font>
    <font>
      <name val="Times New Roman"/>
      <color rgb="FF2C481F"/>
    </font>
    <font>
      <name val="Times New Roman"/>
      <color rgb="FF303030"/>
    </font>
    <font>
      <name val="Times New Roman"/>
      <color rgb="FF1155CC"/>
      <u val="single"/>
    </font>
    <font>
      <name val="Times New Roman"/>
      <color rgb="FFFFFFFF"/>
    </font>
    <font>
      <name val="Times New Roman"/>
      <b val="1"/>
      <color rgb="FF303030"/>
    </font>
    <font>
      <name val="Times New Roman"/>
      <b val="1"/>
      <color rgb="FF101010"/>
      <sz val="11"/>
    </font>
    <font>
      <name val="Times New Roman"/>
      <b val="1"/>
      <color rgb="FF993300"/>
    </font>
    <font>
      <name val="Times New Roman"/>
      <color rgb="FF1155CC"/>
      <u val="single"/>
    </font>
    <font>
      <name val="Times New Roman"/>
      <b val="1"/>
      <color rgb="FF0000FF"/>
    </font>
    <font>
      <name val="Calibri"/>
      <b val="1"/>
      <color theme="1"/>
    </font>
    <font>
      <name val="Calibri"/>
      <color theme="1"/>
    </font>
    <font>
      <name val="Times New Roman"/>
      <b val="1"/>
      <color rgb="FF101010"/>
      <sz val="10"/>
    </font>
    <font>
      <name val="Times New Roman"/>
      <color rgb="FF101010"/>
      <sz val="10"/>
    </font>
    <font>
      <name val="Times New Roman"/>
      <color rgb="FF101010"/>
    </font>
    <font>
      <name val="Arial"/>
      <color theme="1"/>
      <scheme val="minor"/>
    </font>
    <font>
      <name val="Times New Roman"/>
      <color rgb="FF303030"/>
      <sz val="12"/>
    </font>
    <font>
      <name val="Calibri"/>
      <color rgb="FF000000"/>
      <sz val="11"/>
    </font>
    <font>
      <name val="Calibri"/>
      <b val="1"/>
      <sz val="10"/>
    </font>
    <font>
      <name val="Calibri"/>
      <sz val="10"/>
    </font>
    <font>
      <name val="Calibri"/>
      <b val="1"/>
      <color rgb="00008000"/>
      <sz val="10"/>
    </font>
  </fonts>
  <fills count="9">
    <fill>
      <patternFill/>
    </fill>
    <fill>
      <patternFill patternType="lightGray"/>
    </fill>
    <fill>
      <patternFill patternType="solid">
        <fgColor rgb="FFFFFFFF"/>
        <bgColor rgb="FFFFFFFF"/>
      </patternFill>
    </fill>
    <fill>
      <patternFill patternType="solid">
        <fgColor rgb="FF333399"/>
        <bgColor rgb="FF333399"/>
      </patternFill>
    </fill>
    <fill>
      <patternFill patternType="solid">
        <fgColor rgb="FF000080"/>
        <bgColor rgb="FF000080"/>
      </patternFill>
    </fill>
    <fill>
      <patternFill patternType="solid">
        <fgColor rgb="FF76933C"/>
        <bgColor rgb="FF76933C"/>
      </patternFill>
    </fill>
    <fill>
      <patternFill patternType="solid">
        <fgColor rgb="FFCCFFFF"/>
        <bgColor rgb="FFCCFFFF"/>
      </patternFill>
    </fill>
    <fill>
      <patternFill patternType="solid">
        <fgColor rgb="FFF6F8F9"/>
        <bgColor rgb="FFF6F8F9"/>
      </patternFill>
    </fill>
    <fill>
      <patternFill patternType="solid">
        <fgColor rgb="FFF9FBFD"/>
        <bgColor rgb="FFF9FBFD"/>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rder>
    <border>
      <right style="thin">
        <color rgb="FF000000"/>
      </right>
      <top style="thin">
        <color rgb="FF000000"/>
      </top>
    </border>
    <border>
      <right style="thin">
        <color rgb="FF000000"/>
      </right>
    </border>
    <border>
      <left style="thin">
        <color rgb="00D9D9D9"/>
      </left>
      <right style="thin">
        <color rgb="00D9D9D9"/>
      </right>
      <top style="thin">
        <color rgb="00D9D9D9"/>
      </top>
      <bottom style="thin">
        <color rgb="00D9D9D9"/>
      </bottom>
    </border>
  </borders>
  <cellStyleXfs count="1">
    <xf numFmtId="0" fontId="0" fillId="0" borderId="0"/>
  </cellStyleXfs>
  <cellXfs count="135">
    <xf numFmtId="0" fontId="0" fillId="0" borderId="0" applyAlignment="1" pivotButton="0" quotePrefix="0" xfId="0">
      <alignment vertical="bottom"/>
    </xf>
    <xf numFmtId="0" fontId="1" fillId="2" borderId="1" applyAlignment="1" pivotButton="0" quotePrefix="0" xfId="0">
      <alignment horizontal="center"/>
    </xf>
    <xf numFmtId="0" fontId="2" fillId="2" borderId="0" applyAlignment="1" pivotButton="0" quotePrefix="0" xfId="0">
      <alignment horizontal="center" vertical="bottom"/>
    </xf>
    <xf numFmtId="0" fontId="3" fillId="2" borderId="2" applyAlignment="1" pivotButton="0" quotePrefix="0" xfId="0">
      <alignment vertical="center"/>
    </xf>
    <xf numFmtId="0" fontId="4" fillId="2" borderId="0" applyAlignment="1" pivotButton="0" quotePrefix="0" xfId="0">
      <alignment vertical="bottom"/>
    </xf>
    <xf numFmtId="0" fontId="5" fillId="0" borderId="3" pivotButton="0" quotePrefix="0" xfId="0"/>
    <xf numFmtId="0" fontId="6" fillId="2" borderId="2" applyAlignment="1" pivotButton="0" quotePrefix="0" xfId="0">
      <alignment horizontal="left" vertical="center" wrapText="1"/>
    </xf>
    <xf numFmtId="0" fontId="7" fillId="2" borderId="2" applyAlignment="1" pivotButton="0" quotePrefix="0" xfId="0">
      <alignment vertical="center"/>
    </xf>
    <xf numFmtId="0" fontId="3" fillId="2" borderId="1" pivotButton="0" quotePrefix="0" xfId="0"/>
    <xf numFmtId="0" fontId="5" fillId="0" borderId="4" pivotButton="0" quotePrefix="0" xfId="0"/>
    <xf numFmtId="0" fontId="7" fillId="2" borderId="2" pivotButton="0" quotePrefix="0" xfId="0"/>
    <xf numFmtId="0" fontId="3" fillId="2" borderId="2" pivotButton="0" quotePrefix="0" xfId="0"/>
    <xf numFmtId="0" fontId="7" fillId="0" borderId="2" applyAlignment="1" pivotButton="0" quotePrefix="0" xfId="0">
      <alignment vertical="center" wrapText="1"/>
    </xf>
    <xf numFmtId="0" fontId="3" fillId="2" borderId="3" applyAlignment="1" pivotButton="0" quotePrefix="0" xfId="0">
      <alignment horizontal="left"/>
    </xf>
    <xf numFmtId="0" fontId="8" fillId="2" borderId="2" applyAlignment="1" pivotButton="0" quotePrefix="0" xfId="0">
      <alignment vertical="center" wrapText="1"/>
    </xf>
    <xf numFmtId="0" fontId="3" fillId="2" borderId="5" applyAlignment="1" pivotButton="0" quotePrefix="0" xfId="0">
      <alignment horizontal="left"/>
    </xf>
    <xf numFmtId="0" fontId="4" fillId="2" borderId="0" applyAlignment="1" pivotButton="0" quotePrefix="0" xfId="0">
      <alignment vertical="center"/>
    </xf>
    <xf numFmtId="0" fontId="5" fillId="0" borderId="6" pivotButton="0" quotePrefix="0" xfId="0"/>
    <xf numFmtId="0" fontId="9" fillId="3" borderId="1" applyAlignment="1" pivotButton="0" quotePrefix="0" xfId="0">
      <alignment horizontal="center" vertical="center"/>
    </xf>
    <xf numFmtId="0" fontId="1" fillId="2" borderId="7" applyAlignment="1" pivotButton="0" quotePrefix="0" xfId="0">
      <alignment horizontal="center"/>
    </xf>
    <xf numFmtId="164" fontId="3" fillId="2" borderId="5" applyAlignment="1" pivotButton="0" quotePrefix="0" xfId="0">
      <alignment horizontal="left"/>
    </xf>
    <xf numFmtId="0" fontId="9" fillId="3" borderId="1" applyAlignment="1" pivotButton="0" quotePrefix="0" xfId="0">
      <alignment horizontal="center" vertical="center" wrapText="1"/>
    </xf>
    <xf numFmtId="0" fontId="10" fillId="2" borderId="2" applyAlignment="1" pivotButton="0" quotePrefix="0" xfId="0">
      <alignment horizontal="left"/>
    </xf>
    <xf numFmtId="0" fontId="4" fillId="2" borderId="2" pivotButton="0" quotePrefix="0" xfId="0"/>
    <xf numFmtId="0" fontId="11" fillId="0" borderId="2" applyAlignment="1" pivotButton="0" quotePrefix="0" xfId="0">
      <alignment horizontal="center" vertical="bottom" wrapText="1"/>
    </xf>
    <xf numFmtId="0" fontId="4" fillId="0" borderId="0" applyAlignment="1" pivotButton="0" quotePrefix="0" xfId="0">
      <alignment vertical="bottom"/>
    </xf>
    <xf numFmtId="0" fontId="8" fillId="2" borderId="1" applyAlignment="1" pivotButton="0" quotePrefix="0" xfId="0">
      <alignment horizontal="center" vertical="center" wrapText="1"/>
    </xf>
    <xf numFmtId="0" fontId="12" fillId="2" borderId="7" applyAlignment="1" pivotButton="0" quotePrefix="0" xfId="0">
      <alignment horizontal="center"/>
    </xf>
    <xf numFmtId="0" fontId="6" fillId="2" borderId="1" applyAlignment="1" pivotButton="0" quotePrefix="0" xfId="0">
      <alignment horizontal="left" vertical="center" wrapText="1"/>
    </xf>
    <xf numFmtId="0" fontId="13" fillId="2" borderId="1" applyAlignment="1" pivotButton="0" quotePrefix="0" xfId="0">
      <alignment vertical="bottom" wrapText="1"/>
    </xf>
    <xf numFmtId="0" fontId="12" fillId="2" borderId="1" applyAlignment="1" pivotButton="0" quotePrefix="0" xfId="0">
      <alignment horizontal="center"/>
    </xf>
    <xf numFmtId="0" fontId="9" fillId="4" borderId="8" applyAlignment="1" pivotButton="0" quotePrefix="0" xfId="0">
      <alignment horizontal="center"/>
    </xf>
    <xf numFmtId="0" fontId="14" fillId="0" borderId="2" applyAlignment="1" pivotButton="0" quotePrefix="0" xfId="0">
      <alignment vertical="bottom" wrapText="1"/>
    </xf>
    <xf numFmtId="0" fontId="12" fillId="2" borderId="6" applyAlignment="1" pivotButton="0" quotePrefix="0" xfId="0">
      <alignment horizontal="center"/>
    </xf>
    <xf numFmtId="0" fontId="8" fillId="0" borderId="4" applyAlignment="1" pivotButton="0" quotePrefix="0" xfId="0">
      <alignment vertical="bottom" wrapText="1"/>
    </xf>
    <xf numFmtId="0" fontId="9" fillId="4" borderId="9" applyAlignment="1" pivotButton="0" quotePrefix="0" xfId="0">
      <alignment horizontal="center"/>
    </xf>
    <xf numFmtId="0" fontId="15" fillId="0" borderId="1" applyAlignment="1" pivotButton="0" quotePrefix="0" xfId="0">
      <alignment vertical="center" wrapText="1"/>
    </xf>
    <xf numFmtId="164" fontId="14" fillId="0" borderId="6" applyAlignment="1" pivotButton="0" quotePrefix="0" xfId="0">
      <alignment horizontal="left" vertical="bottom" wrapText="1"/>
    </xf>
    <xf numFmtId="0" fontId="8" fillId="2" borderId="1" applyAlignment="1" pivotButton="0" quotePrefix="0" xfId="0">
      <alignment horizontal="center"/>
    </xf>
    <xf numFmtId="0" fontId="10" fillId="2" borderId="1" applyAlignment="1" pivotButton="0" quotePrefix="0" xfId="0">
      <alignment horizontal="center"/>
    </xf>
    <xf numFmtId="0" fontId="14" fillId="0" borderId="3" applyAlignment="1" pivotButton="0" quotePrefix="0" xfId="0">
      <alignment vertical="bottom" wrapText="1"/>
    </xf>
    <xf numFmtId="0" fontId="8" fillId="2" borderId="1" applyAlignment="1" pivotButton="0" quotePrefix="0" xfId="0">
      <alignment horizontal="center"/>
    </xf>
    <xf numFmtId="0" fontId="8" fillId="2" borderId="1" applyAlignment="1" pivotButton="0" quotePrefix="0" xfId="0">
      <alignment vertical="center" wrapText="1"/>
    </xf>
    <xf numFmtId="0" fontId="14" fillId="0" borderId="6" applyAlignment="1" pivotButton="0" quotePrefix="0" xfId="0">
      <alignment vertical="bottom" wrapText="1"/>
    </xf>
    <xf numFmtId="0" fontId="10" fillId="2" borderId="6" applyAlignment="1" pivotButton="0" quotePrefix="0" xfId="0">
      <alignment horizontal="center"/>
    </xf>
    <xf numFmtId="0" fontId="16" fillId="0" borderId="0" applyAlignment="1" pivotButton="0" quotePrefix="0" xfId="0">
      <alignment horizontal="left" vertical="bottom" wrapText="1"/>
    </xf>
    <xf numFmtId="0" fontId="16" fillId="0" borderId="0" applyAlignment="1" pivotButton="0" quotePrefix="0" xfId="0">
      <alignment horizontal="center" vertical="center" wrapText="1"/>
    </xf>
    <xf numFmtId="0" fontId="8" fillId="0" borderId="1" applyAlignment="1" pivotButton="0" quotePrefix="0" xfId="0">
      <alignment horizontal="center"/>
    </xf>
    <xf numFmtId="164" fontId="17" fillId="2" borderId="1" applyAlignment="1" pivotButton="0" quotePrefix="0" xfId="0">
      <alignment horizontal="right" vertical="center" wrapText="1"/>
    </xf>
    <xf numFmtId="0" fontId="9" fillId="5" borderId="1" applyAlignment="1" pivotButton="0" quotePrefix="0" xfId="0">
      <alignment horizont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4" fillId="4" borderId="5" pivotButton="0" quotePrefix="0" xfId="0"/>
    <xf numFmtId="0" fontId="9" fillId="4" borderId="5" pivotButton="0" quotePrefix="0" xfId="0"/>
    <xf numFmtId="0" fontId="8" fillId="0" borderId="1" applyAlignment="1" pivotButton="0" quotePrefix="0" xfId="0">
      <alignment vertical="center" wrapText="1"/>
    </xf>
    <xf numFmtId="0" fontId="19" fillId="2" borderId="1" applyAlignment="1" pivotButton="0" quotePrefix="0" xfId="0">
      <alignment vertical="center" wrapText="1"/>
    </xf>
    <xf numFmtId="0" fontId="4" fillId="2" borderId="1" applyAlignment="1" pivotButton="0" quotePrefix="0" xfId="0">
      <alignment vertical="center"/>
    </xf>
    <xf numFmtId="0" fontId="20" fillId="2" borderId="1" applyAlignment="1" pivotButton="0" quotePrefix="0" xfId="0">
      <alignment vertical="center" wrapText="1"/>
    </xf>
    <xf numFmtId="0" fontId="21" fillId="4" borderId="5" applyAlignment="1" pivotButton="0" quotePrefix="0" xfId="0">
      <alignment horizontal="center"/>
    </xf>
    <xf numFmtId="0" fontId="22" fillId="6" borderId="2" applyAlignment="1" pivotButton="0" quotePrefix="0" xfId="0">
      <alignment wrapText="1"/>
    </xf>
    <xf numFmtId="0" fontId="8" fillId="2" borderId="1" applyAlignment="1" pivotButton="0" quotePrefix="0" xfId="0">
      <alignment vertical="center" wrapText="1"/>
    </xf>
    <xf numFmtId="0" fontId="21" fillId="4" borderId="6" applyAlignment="1" pivotButton="0" quotePrefix="0" xfId="0">
      <alignment horizontal="center"/>
    </xf>
    <xf numFmtId="0" fontId="4" fillId="2" borderId="1" pivotButton="0" quotePrefix="0" xfId="0"/>
    <xf numFmtId="0" fontId="23" fillId="2" borderId="1" applyAlignment="1" pivotButton="0" quotePrefix="0" xfId="0">
      <alignment horizontal="left" vertical="center" wrapText="1"/>
    </xf>
    <xf numFmtId="0" fontId="24" fillId="2" borderId="1" pivotButton="0" quotePrefix="0" xfId="0"/>
    <xf numFmtId="0" fontId="25" fillId="0" borderId="1" applyAlignment="1" pivotButton="0" quotePrefix="0" xfId="0">
      <alignment vertical="center" wrapText="1"/>
    </xf>
    <xf numFmtId="0" fontId="26" fillId="2" borderId="1" applyAlignment="1" pivotButton="0" quotePrefix="0" xfId="0">
      <alignment horizontal="right"/>
    </xf>
    <xf numFmtId="0" fontId="8" fillId="2" borderId="1" pivotButton="0" quotePrefix="0" xfId="0"/>
    <xf numFmtId="0" fontId="8" fillId="2" borderId="1" applyAlignment="1" pivotButton="0" quotePrefix="0" xfId="0">
      <alignment wrapText="1"/>
    </xf>
    <xf numFmtId="0" fontId="18" fillId="7" borderId="1" applyAlignment="1" pivotButton="0" quotePrefix="0" xfId="0">
      <alignment vertical="center" wrapText="1"/>
    </xf>
    <xf numFmtId="165" fontId="4" fillId="2" borderId="1" applyAlignment="1" pivotButton="0" quotePrefix="0" xfId="0">
      <alignment vertical="center" wrapText="1"/>
    </xf>
    <xf numFmtId="0" fontId="24" fillId="2" borderId="2" pivotButton="0" quotePrefix="0" xfId="0"/>
    <xf numFmtId="0" fontId="4" fillId="7" borderId="1" applyAlignment="1" pivotButton="0" quotePrefix="0" xfId="0">
      <alignment vertical="center"/>
    </xf>
    <xf numFmtId="0" fontId="17" fillId="7" borderId="1" applyAlignment="1" pivotButton="0" quotePrefix="0" xfId="0">
      <alignment vertical="center" wrapText="1"/>
    </xf>
    <xf numFmtId="165" fontId="4" fillId="2" borderId="1" pivotButton="0" quotePrefix="0" xfId="0"/>
    <xf numFmtId="164" fontId="17" fillId="2" borderId="1" applyAlignment="1" pivotButton="0" quotePrefix="0" xfId="0">
      <alignment vertical="center" wrapText="1"/>
    </xf>
    <xf numFmtId="0" fontId="18" fillId="2" borderId="1" applyAlignment="1" pivotButton="0" quotePrefix="0" xfId="0">
      <alignment vertical="center" wrapText="1"/>
    </xf>
    <xf numFmtId="0" fontId="27" fillId="8" borderId="1" applyAlignment="1" pivotButton="0" quotePrefix="0" xfId="0">
      <alignment horizontal="center" vertical="top" wrapText="1"/>
    </xf>
    <xf numFmtId="0" fontId="28" fillId="8" borderId="1" applyAlignment="1" pivotButton="0" quotePrefix="0" xfId="0">
      <alignment horizontal="left" vertical="top" wrapText="1"/>
    </xf>
    <xf numFmtId="0" fontId="8" fillId="2" borderId="1" applyAlignment="1" pivotButton="0" quotePrefix="0" xfId="0">
      <alignment wrapText="1"/>
    </xf>
    <xf numFmtId="0" fontId="29" fillId="2" borderId="1" applyAlignment="1" pivotButton="0" quotePrefix="0" xfId="0">
      <alignment horizontal="left" vertical="center" wrapText="1"/>
    </xf>
    <xf numFmtId="0" fontId="4" fillId="2" borderId="1" applyAlignment="1" pivotButton="0" quotePrefix="0" xfId="0">
      <alignment wrapText="1"/>
    </xf>
    <xf numFmtId="0" fontId="30" fillId="2" borderId="1" applyAlignment="1" pivotButton="0" quotePrefix="0" xfId="0">
      <alignment horizontal="left" vertical="center" wrapText="1"/>
    </xf>
    <xf numFmtId="0" fontId="27" fillId="0" borderId="1" applyAlignment="1" pivotButton="0" quotePrefix="0" xfId="0">
      <alignment horizontal="center" vertical="top" wrapText="1"/>
    </xf>
    <xf numFmtId="0" fontId="4" fillId="2" borderId="1" pivotButton="0" quotePrefix="0" xfId="0"/>
    <xf numFmtId="0" fontId="28" fillId="0" borderId="1" applyAlignment="1" pivotButton="0" quotePrefix="0" xfId="0">
      <alignment horizontal="left" vertical="top" wrapText="1"/>
    </xf>
    <xf numFmtId="165" fontId="8" fillId="2" borderId="1" applyAlignment="1" pivotButton="0" quotePrefix="0" xfId="0">
      <alignment wrapText="1"/>
    </xf>
    <xf numFmtId="0" fontId="31" fillId="2" borderId="0" pivotButton="0" quotePrefix="0" xfId="0"/>
    <xf numFmtId="0" fontId="6" fillId="2" borderId="3" applyAlignment="1" pivotButton="0" quotePrefix="0" xfId="0">
      <alignment horizontal="left" vertical="center" wrapText="1"/>
    </xf>
    <xf numFmtId="0" fontId="6" fillId="2" borderId="4" applyAlignment="1" pivotButton="0" quotePrefix="0" xfId="0">
      <alignment horizontal="left" vertical="center" wrapText="1"/>
    </xf>
    <xf numFmtId="0" fontId="32" fillId="0" borderId="1" applyAlignment="1" pivotButton="0" quotePrefix="0" xfId="0">
      <alignment wrapText="1"/>
    </xf>
    <xf numFmtId="0" fontId="32" fillId="0" borderId="1" applyAlignment="1" pivotButton="0" quotePrefix="0" xfId="0">
      <alignment wrapText="1"/>
    </xf>
    <xf numFmtId="0" fontId="32" fillId="0" borderId="0" applyAlignment="1" pivotButton="0" quotePrefix="0" xfId="0">
      <alignment wrapText="1"/>
    </xf>
    <xf numFmtId="0" fontId="33" fillId="2" borderId="2" applyAlignment="1" pivotButton="0" quotePrefix="0" xfId="0">
      <alignment wrapText="1"/>
    </xf>
    <xf numFmtId="0" fontId="9" fillId="5" borderId="1" applyAlignment="1" pivotButton="0" quotePrefix="0" xfId="0">
      <alignment horizontal="center" vertical="center" wrapText="1"/>
    </xf>
    <xf numFmtId="0" fontId="22" fillId="6" borderId="2" applyAlignment="1" pivotButton="0" quotePrefix="0" xfId="0">
      <alignment vertical="center" wrapText="1"/>
    </xf>
    <xf numFmtId="165" fontId="32" fillId="0" borderId="1" applyAlignment="1" pivotButton="0" quotePrefix="0" xfId="0">
      <alignment wrapText="1"/>
    </xf>
    <xf numFmtId="0" fontId="34" fillId="0" borderId="0" applyAlignment="1" pivotButton="0" quotePrefix="0" xfId="0">
      <alignment vertical="bottom"/>
    </xf>
    <xf numFmtId="165" fontId="4" fillId="2" borderId="1" applyAlignment="1" pivotButton="0" quotePrefix="0" xfId="0">
      <alignment vertical="center"/>
    </xf>
    <xf numFmtId="0" fontId="4" fillId="2" borderId="1" applyAlignment="1" pivotButton="0" quotePrefix="0" xfId="0">
      <alignment vertical="center"/>
    </xf>
    <xf numFmtId="0" fontId="4" fillId="2" borderId="1" applyAlignment="1" pivotButton="0" quotePrefix="0" xfId="0">
      <alignment vertical="center"/>
    </xf>
    <xf numFmtId="0" fontId="32" fillId="0" borderId="1" pivotButton="0" quotePrefix="0" xfId="0"/>
    <xf numFmtId="0" fontId="32" fillId="0" borderId="1" applyAlignment="1" pivotButton="0" quotePrefix="0" xfId="0">
      <alignment vertical="center"/>
    </xf>
    <xf numFmtId="0" fontId="0" fillId="0" borderId="0" pivotButton="0" quotePrefix="0" xfId="0"/>
    <xf numFmtId="0" fontId="11" fillId="0" borderId="1" applyAlignment="1" pivotButton="0" quotePrefix="0" xfId="0">
      <alignment horizontal="center" vertical="bottom" wrapText="1"/>
    </xf>
    <xf numFmtId="0" fontId="0" fillId="0" borderId="3" pivotButton="0" quotePrefix="0" xfId="0"/>
    <xf numFmtId="0" fontId="0" fillId="0" borderId="4" pivotButton="0" quotePrefix="0" xfId="0"/>
    <xf numFmtId="0" fontId="14" fillId="0" borderId="1" applyAlignment="1" pivotButton="0" quotePrefix="0" xfId="0">
      <alignment vertical="bottom" wrapText="1"/>
    </xf>
    <xf numFmtId="0" fontId="14" fillId="0" borderId="4" applyAlignment="1" pivotButton="0" quotePrefix="0" xfId="0">
      <alignment vertical="bottom" wrapText="1"/>
    </xf>
    <xf numFmtId="0" fontId="7" fillId="2" borderId="1" applyAlignment="1" pivotButton="0" quotePrefix="0" xfId="0">
      <alignment vertical="center"/>
    </xf>
    <xf numFmtId="0" fontId="7" fillId="0" borderId="1" applyAlignment="1" pivotButton="0" quotePrefix="0" xfId="0">
      <alignment vertical="center" wrapText="1"/>
    </xf>
    <xf numFmtId="0" fontId="3" fillId="2" borderId="1" applyAlignment="1" pivotButton="0" quotePrefix="0" xfId="0">
      <alignment vertical="center"/>
    </xf>
    <xf numFmtId="0" fontId="7" fillId="2" borderId="1" pivotButton="0" quotePrefix="0" xfId="0"/>
    <xf numFmtId="0" fontId="3" fillId="2" borderId="4" applyAlignment="1" pivotButton="0" quotePrefix="0" xfId="0">
      <alignment horizontal="left"/>
    </xf>
    <xf numFmtId="0" fontId="3" fillId="2" borderId="6" applyAlignment="1" pivotButton="0" quotePrefix="0" xfId="0">
      <alignment horizontal="left"/>
    </xf>
    <xf numFmtId="0" fontId="0" fillId="0" borderId="6" pivotButton="0" quotePrefix="0" xfId="0"/>
    <xf numFmtId="164" fontId="3" fillId="2" borderId="6" applyAlignment="1" pivotButton="0" quotePrefix="0" xfId="0">
      <alignment horizontal="left"/>
    </xf>
    <xf numFmtId="0" fontId="10" fillId="2" borderId="1" applyAlignment="1" pivotButton="0" quotePrefix="0" xfId="0">
      <alignment horizontal="left"/>
    </xf>
    <xf numFmtId="0" fontId="22" fillId="6" borderId="1" applyAlignment="1" pivotButton="0" quotePrefix="0" xfId="0">
      <alignment wrapText="1"/>
    </xf>
    <xf numFmtId="0" fontId="35" fillId="8" borderId="11" applyAlignment="1" pivotButton="0" quotePrefix="0" xfId="0">
      <alignment horizontal="center" vertical="top"/>
    </xf>
    <xf numFmtId="0" fontId="36" fillId="8" borderId="11" applyAlignment="1" pivotButton="0" quotePrefix="0" xfId="0">
      <alignment horizontal="left" vertical="top" wrapText="1"/>
    </xf>
    <xf numFmtId="0" fontId="37" fillId="2" borderId="11" applyAlignment="1" pivotButton="0" quotePrefix="0" xfId="0">
      <alignment horizontal="center" vertical="top"/>
    </xf>
    <xf numFmtId="165" fontId="36" fillId="2" borderId="11" applyAlignment="1" pivotButton="0" quotePrefix="0" xfId="0">
      <alignment horizontal="center" vertical="top"/>
    </xf>
    <xf numFmtId="0" fontId="36" fillId="2" borderId="11" applyAlignment="1" pivotButton="0" quotePrefix="0" xfId="0">
      <alignment horizontal="center" vertical="top"/>
    </xf>
    <xf numFmtId="0" fontId="35" fillId="0" borderId="11" applyAlignment="1" pivotButton="0" quotePrefix="0" xfId="0">
      <alignment horizontal="center" vertical="top"/>
    </xf>
    <xf numFmtId="0" fontId="36" fillId="0" borderId="11" applyAlignment="1" pivotButton="0" quotePrefix="0" xfId="0">
      <alignment horizontal="left" vertical="top" wrapText="1"/>
    </xf>
    <xf numFmtId="0" fontId="37" fillId="0" borderId="11" applyAlignment="1" pivotButton="0" quotePrefix="0" xfId="0">
      <alignment horizontal="center" vertical="top"/>
    </xf>
    <xf numFmtId="0" fontId="36" fillId="0" borderId="11" applyAlignment="1" pivotButton="0" quotePrefix="0" xfId="0">
      <alignment horizontal="center" vertical="top"/>
    </xf>
    <xf numFmtId="165" fontId="36" fillId="0" borderId="11" applyAlignment="1" pivotButton="0" quotePrefix="0" xfId="0">
      <alignment horizontal="center" vertical="top"/>
    </xf>
    <xf numFmtId="0" fontId="33" fillId="2" borderId="1" applyAlignment="1" pivotButton="0" quotePrefix="0" xfId="0">
      <alignment wrapText="1"/>
    </xf>
    <xf numFmtId="0" fontId="22" fillId="6" borderId="1" applyAlignment="1" pivotButton="0" quotePrefix="0" xfId="0">
      <alignment vertical="center" wrapText="1"/>
    </xf>
    <xf numFmtId="0" fontId="35" fillId="2" borderId="11" applyAlignment="1" pivotButton="0" quotePrefix="0" xfId="0">
      <alignment horizontal="center" vertical="top"/>
    </xf>
    <xf numFmtId="0" fontId="36" fillId="2" borderId="11" applyAlignment="1" pivotButton="0" quotePrefix="0" xfId="0">
      <alignment horizontal="left" vertical="top" wrapText="1"/>
    </xf>
    <xf numFmtId="0" fontId="35" fillId="6" borderId="11" applyAlignment="1" pivotButton="0" quotePrefix="0" xfId="0">
      <alignment horizontal="center" vertical="top"/>
    </xf>
    <xf numFmtId="166" fontId="36" fillId="0" borderId="11" applyAlignment="1" pivotButton="0" quotePrefix="0" xfId="0">
      <alignment horizontal="center" vertical="top"/>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Cover-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Bảng_1" displayName="Bảng_1" ref="A9:F18" headerRowCount="1">
  <tableColumns count="6">
    <tableColumn id="1" name="Effective Date"/>
    <tableColumn id="2" name="Version"/>
    <tableColumn id="3" name="In Charge"/>
    <tableColumn id="4" name="*A,D,M"/>
    <tableColumn id="5" name="Change description"/>
    <tableColumn id="6" name="Reference"/>
  </tableColumns>
  <tableStyleInfo name="Cover-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F18"/>
  <sheetViews>
    <sheetView workbookViewId="0">
      <selection activeCell="A1" sqref="A1"/>
    </sheetView>
  </sheetViews>
  <sheetFormatPr baseColWidth="8" defaultColWidth="12.63" defaultRowHeight="15.75" customHeight="1"/>
  <cols>
    <col width="20" customWidth="1" style="103" min="1" max="1"/>
    <col width="19.25" customWidth="1" style="103" min="5" max="5"/>
    <col width="18.25" customWidth="1" style="103" min="6" max="6"/>
  </cols>
  <sheetData>
    <row r="1">
      <c r="A1" s="104" t="inlineStr">
        <is>
          <t>SYSTEM TEST REPORT DOCUMENT</t>
        </is>
      </c>
      <c r="B1" s="105" t="n"/>
      <c r="C1" s="105" t="n"/>
      <c r="D1" s="105" t="n"/>
      <c r="E1" s="105" t="n"/>
      <c r="F1" s="106" t="n"/>
    </row>
    <row r="2">
      <c r="A2" s="4" t="n"/>
      <c r="B2" s="25" t="n"/>
      <c r="C2" s="25" t="n"/>
      <c r="D2" s="25" t="n"/>
      <c r="E2" s="4" t="n"/>
      <c r="F2" s="25" t="n"/>
    </row>
    <row r="3">
      <c r="A3" s="29" t="inlineStr">
        <is>
          <t>Project Name</t>
        </is>
      </c>
      <c r="B3" s="107" t="inlineStr">
        <is>
          <t>Finora</t>
        </is>
      </c>
      <c r="C3" s="105" t="n"/>
      <c r="D3" s="106" t="n"/>
      <c r="E3" s="29" t="inlineStr">
        <is>
          <t>Creator</t>
        </is>
      </c>
      <c r="F3" s="34" t="inlineStr">
        <is>
          <t>ChiHTH</t>
        </is>
      </c>
    </row>
    <row r="4">
      <c r="A4" s="29" t="inlineStr">
        <is>
          <t>Project Code</t>
        </is>
      </c>
      <c r="B4" s="107" t="inlineStr">
        <is>
          <t>Finora_System_Test_v1.0</t>
        </is>
      </c>
      <c r="C4" s="105" t="n"/>
      <c r="D4" s="106" t="n"/>
      <c r="E4" s="29" t="inlineStr">
        <is>
          <t>Issue Date</t>
        </is>
      </c>
      <c r="F4" s="37" t="n">
        <v>46225</v>
      </c>
    </row>
    <row r="5">
      <c r="A5" s="29" t="inlineStr">
        <is>
          <t>Document Code</t>
        </is>
      </c>
      <c r="B5" s="108" t="inlineStr">
        <is>
          <t>FINORA - CHAIN ​​STORE MANAGEMENT SYSTEM</t>
        </is>
      </c>
      <c r="C5" s="105" t="n"/>
      <c r="D5" s="106" t="n"/>
      <c r="E5" s="29" t="inlineStr">
        <is>
          <t>Version</t>
        </is>
      </c>
      <c r="F5" s="43" t="inlineStr">
        <is>
          <t>1.0</t>
        </is>
      </c>
    </row>
    <row r="7">
      <c r="A7" s="45" t="inlineStr">
        <is>
          <t>Record of change</t>
        </is>
      </c>
    </row>
    <row r="9" ht="22.5" customHeight="1" s="103">
      <c r="A9" s="46" t="inlineStr">
        <is>
          <t>Effective Date</t>
        </is>
      </c>
      <c r="B9" s="46" t="inlineStr">
        <is>
          <t>Version</t>
        </is>
      </c>
      <c r="C9" s="46" t="inlineStr">
        <is>
          <t>In Charge</t>
        </is>
      </c>
      <c r="D9" s="46" t="inlineStr">
        <is>
          <t>*A,D,M</t>
        </is>
      </c>
      <c r="E9" s="46" t="inlineStr">
        <is>
          <t>Change description</t>
        </is>
      </c>
      <c r="F9" s="46" t="inlineStr">
        <is>
          <t>Reference</t>
        </is>
      </c>
    </row>
    <row r="10" ht="22.5" customHeight="1" s="103">
      <c r="A10" s="48" t="n">
        <v>46224</v>
      </c>
      <c r="B10" s="50" t="inlineStr">
        <is>
          <t>3.0</t>
        </is>
      </c>
      <c r="C10" s="50" t="inlineStr">
        <is>
          <t>ChiHTH</t>
        </is>
      </c>
      <c r="D10" s="76" t="inlineStr">
        <is>
          <t>A</t>
        </is>
      </c>
      <c r="E10" s="54" t="inlineStr">
        <is>
          <t>Add information to Test Case</t>
        </is>
      </c>
      <c r="F10" s="100" t="n"/>
    </row>
    <row r="11" ht="22.5" customHeight="1" s="103">
      <c r="A11" s="48" t="n">
        <v>46224</v>
      </c>
      <c r="B11" s="50" t="inlineStr">
        <is>
          <t>3.0</t>
        </is>
      </c>
      <c r="C11" s="50" t="inlineStr">
        <is>
          <t>ChiHTH</t>
        </is>
      </c>
      <c r="D11" s="69" t="inlineStr">
        <is>
          <t>A</t>
        </is>
      </c>
      <c r="E11" s="54" t="inlineStr">
        <is>
          <t>Add information to Test Statistic</t>
        </is>
      </c>
      <c r="F11" s="72" t="n"/>
    </row>
    <row r="12" ht="22.5" customHeight="1" s="103">
      <c r="A12" s="48" t="n">
        <v>46224</v>
      </c>
      <c r="B12" s="50" t="inlineStr">
        <is>
          <t>3.0</t>
        </is>
      </c>
      <c r="C12" s="50" t="inlineStr">
        <is>
          <t>ChiHTH</t>
        </is>
      </c>
      <c r="D12" s="76" t="inlineStr">
        <is>
          <t>A</t>
        </is>
      </c>
      <c r="E12" s="50" t="inlineStr">
        <is>
          <t>Add test case User Account &amp; Role Configuration</t>
        </is>
      </c>
      <c r="F12" s="100" t="n"/>
    </row>
    <row r="13" ht="22.5" customHeight="1" s="103">
      <c r="A13" s="48" t="n">
        <v>46224</v>
      </c>
      <c r="B13" s="50" t="inlineStr">
        <is>
          <t>3.0</t>
        </is>
      </c>
      <c r="C13" s="50" t="inlineStr">
        <is>
          <t>ChiHTH</t>
        </is>
      </c>
      <c r="D13" s="69" t="inlineStr">
        <is>
          <t>A</t>
        </is>
      </c>
      <c r="E13" s="73" t="inlineStr">
        <is>
          <t>Add test case Goods Importation &amp; Inventory Update</t>
        </is>
      </c>
      <c r="F13" s="72" t="n"/>
    </row>
    <row r="14" ht="22.5" customHeight="1" s="103">
      <c r="A14" s="48" t="n">
        <v>46224</v>
      </c>
      <c r="B14" s="50" t="inlineStr">
        <is>
          <t>3.0</t>
        </is>
      </c>
      <c r="C14" s="50" t="inlineStr">
        <is>
          <t>ChiHTH</t>
        </is>
      </c>
      <c r="D14" s="69" t="inlineStr">
        <is>
          <t>A</t>
        </is>
      </c>
      <c r="E14" s="50" t="inlineStr">
        <is>
          <t>Add test case Point of Sale (POS) Order &amp; Payment</t>
        </is>
      </c>
      <c r="F14" s="100" t="n"/>
    </row>
    <row r="15" ht="22.5" customHeight="1" s="103">
      <c r="A15" s="48" t="n">
        <v>46224</v>
      </c>
      <c r="B15" s="50" t="inlineStr">
        <is>
          <t>3.0</t>
        </is>
      </c>
      <c r="C15" s="50" t="inlineStr">
        <is>
          <t>ChiHTH</t>
        </is>
      </c>
      <c r="D15" s="69" t="inlineStr">
        <is>
          <t>A</t>
        </is>
      </c>
      <c r="E15" s="50" t="inlineStr">
        <is>
          <t>Add test case Stocktaking &amp; Inventory Reconciliation</t>
        </is>
      </c>
      <c r="F15" s="100" t="n"/>
    </row>
    <row r="16" ht="22.5" customHeight="1" s="103">
      <c r="A16" s="48" t="n">
        <v>46224</v>
      </c>
      <c r="B16" s="50" t="inlineStr">
        <is>
          <t>3.0</t>
        </is>
      </c>
      <c r="C16" s="50" t="inlineStr">
        <is>
          <t>ChiHTH</t>
        </is>
      </c>
      <c r="D16" s="69" t="inlineStr">
        <is>
          <t>A</t>
        </is>
      </c>
      <c r="E16" s="50" t="inlineStr">
        <is>
          <t>Add test case Financial Cash Flow Recording</t>
        </is>
      </c>
      <c r="F16" s="100" t="n"/>
    </row>
    <row r="17" ht="22.5" customHeight="1" s="103">
      <c r="A17" s="48" t="n">
        <v>46224</v>
      </c>
      <c r="B17" s="50" t="inlineStr">
        <is>
          <t>3.0</t>
        </is>
      </c>
      <c r="C17" s="50" t="inlineStr">
        <is>
          <t>ChiHTH</t>
        </is>
      </c>
      <c r="D17" s="69" t="inlineStr">
        <is>
          <t>A</t>
        </is>
      </c>
      <c r="E17" s="50" t="inlineStr">
        <is>
          <t>Add test case Report Generation &amp; Business Analytics</t>
        </is>
      </c>
      <c r="F17" s="100" t="n"/>
    </row>
    <row r="18" ht="22.5" customHeight="1" s="103">
      <c r="A18" s="75" t="n"/>
      <c r="B18" s="50" t="n"/>
      <c r="C18" s="50" t="n"/>
      <c r="D18" s="76" t="n"/>
      <c r="E18" s="50" t="n"/>
      <c r="F18" s="100" t="n"/>
    </row>
  </sheetData>
  <mergeCells count="4">
    <mergeCell ref="B4:D4"/>
    <mergeCell ref="B3:D3"/>
    <mergeCell ref="A1:F1"/>
    <mergeCell ref="B5:D5"/>
  </mergeCells>
  <dataValidations count="2">
    <dataValidation sqref="A10:A18" showDropDown="1" showInputMessage="0" showErrorMessage="0" allowBlank="1" type="custom">
      <formula1>OR(NOT(ISERROR(DATEVALUE(A10))), AND(ISNUMBER(A10), LEFT(CELL("format", A10))="D"))</formula1>
    </dataValidation>
    <dataValidation sqref="D10:D18" showDropDown="1" showInputMessage="0" showErrorMessage="1" allowBlank="1" type="list">
      <formula1>"A,M"</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2:E17"/>
  <sheetViews>
    <sheetView workbookViewId="0">
      <selection activeCell="A1" sqref="A1"/>
    </sheetView>
  </sheetViews>
  <sheetFormatPr baseColWidth="8" defaultColWidth="12.63" defaultRowHeight="15.75" customHeight="1"/>
  <cols>
    <col width="24.75" customWidth="1" style="103" min="2" max="2"/>
    <col width="23.88" customWidth="1" style="103" min="3" max="3"/>
    <col width="37.5" customWidth="1" style="103" min="4" max="4"/>
    <col width="34.25" customWidth="1" style="103" min="5" max="5"/>
  </cols>
  <sheetData>
    <row r="2">
      <c r="A2" s="3" t="inlineStr">
        <is>
          <t>Project Name</t>
        </is>
      </c>
      <c r="B2" s="105" t="n"/>
      <c r="C2" s="109" t="inlineStr">
        <is>
          <t>Finora</t>
        </is>
      </c>
      <c r="D2" s="105" t="n"/>
      <c r="E2" s="106" t="n"/>
    </row>
    <row r="3">
      <c r="A3" s="3" t="inlineStr">
        <is>
          <t>Project Code</t>
        </is>
      </c>
      <c r="B3" s="105" t="n"/>
      <c r="C3" s="110" t="inlineStr">
        <is>
          <t>Finora_System_Test_v1.0</t>
        </is>
      </c>
      <c r="D3" s="105" t="n"/>
      <c r="E3" s="106" t="n"/>
    </row>
    <row r="4">
      <c r="A4" s="111" t="inlineStr">
        <is>
          <t>Test Environment Setup Description</t>
        </is>
      </c>
      <c r="B4" s="106" t="n"/>
      <c r="C4" s="109" t="inlineStr">
        <is>
          <t xml:space="preserve">
 1. Server: Apache Tomcat 10.x
 2. Database: DBFinoraV3
 3. Web Browser: Chrome, Edge
 </t>
        </is>
      </c>
      <c r="D4" s="105" t="n"/>
      <c r="E4" s="106" t="n"/>
    </row>
    <row r="5">
      <c r="A5" s="16" t="n"/>
      <c r="B5" s="16" t="n"/>
      <c r="C5" s="16" t="n"/>
      <c r="D5" s="16" t="n"/>
      <c r="E5" s="16" t="n"/>
    </row>
    <row r="6">
      <c r="A6" s="16" t="n"/>
      <c r="B6" s="16" t="n"/>
      <c r="C6" s="16" t="n"/>
      <c r="D6" s="16" t="n"/>
      <c r="E6" s="16" t="n"/>
    </row>
    <row r="7">
      <c r="A7" s="18" t="inlineStr">
        <is>
          <t>No</t>
        </is>
      </c>
      <c r="B7" s="18" t="inlineStr">
        <is>
          <t>Function Name</t>
        </is>
      </c>
      <c r="C7" s="18" t="inlineStr">
        <is>
          <t>Sheet Name</t>
        </is>
      </c>
      <c r="D7" s="18" t="inlineStr">
        <is>
          <t>Description</t>
        </is>
      </c>
      <c r="E7" s="21" t="inlineStr">
        <is>
          <t>Pre-Condition</t>
        </is>
      </c>
    </row>
    <row r="8">
      <c r="A8" s="26">
        <f>row()-7</f>
        <v/>
      </c>
      <c r="B8" s="28" t="inlineStr">
        <is>
          <t>User Account &amp; Role Configuration</t>
        </is>
      </c>
      <c r="C8" s="36" t="inlineStr">
        <is>
          <t>User Account &amp; Role Configuration</t>
        </is>
      </c>
      <c r="D8" s="60" t="inlineStr">
        <is>
          <t>Verify the Owner's process for creating new employee accounts: assign roles (Employee/Manager), verify the employee's first login, and check access permissions for corresponding functions (only allowed to access sales/inventory functions and blocked from the Admin/Owner page).</t>
        </is>
      </c>
      <c r="E8" s="60" t="inlineStr">
        <is>
          <t>The owner has successfully logged into the system.</t>
        </is>
      </c>
    </row>
    <row r="9">
      <c r="A9" s="26">
        <f>row()-7</f>
        <v/>
      </c>
      <c r="B9" s="28" t="inlineStr">
        <is>
          <t>Goods Importation &amp; Inventory Update</t>
        </is>
      </c>
      <c r="C9" s="36" t="inlineStr">
        <is>
          <t>Goods Importation &amp; Inventory Update</t>
        </is>
      </c>
      <c r="D9" s="60" t="inlineStr">
        <is>
          <t>Verify the warehousing process from the supplier: Create a new supplier (if not already existing), generate a warehousing receipt for the product, confirm the actual receipt of goods, check that the inventory quantity automatically increases, calculate the value of the goods received, and automatically generate the corresponding payment/accounts payable voucher.</t>
        </is>
      </c>
      <c r="E9" s="60" t="inlineStr">
        <is>
          <t>- Warehouse staff or Owner is logged in.
- The product group category already exists.</t>
        </is>
      </c>
    </row>
    <row r="10">
      <c r="A10" s="26">
        <f>row()-7</f>
        <v/>
      </c>
      <c r="B10" s="28" t="inlineStr">
        <is>
          <t>Point of Sale (POS) Order &amp; Payment</t>
        </is>
      </c>
      <c r="C10" s="36" t="inlineStr">
        <is>
          <t>Point of Sale (POS) Order &amp; Payment</t>
        </is>
      </c>
      <c r="D10" s="60" t="inlineStr">
        <is>
          <t>Verify the complete sales process at the counter: Create a new order, select products, apply customer information (search for or create new customers for points/discounts), successfully process payment, deduct corresponding inventory, print the invoice, and update the financial ledger.</t>
        </is>
      </c>
      <c r="E10" s="60" t="inlineStr">
        <is>
          <t>- Sales staff are logged in.
- Product data is available in stock (inventory &gt; 0).</t>
        </is>
      </c>
    </row>
    <row r="11">
      <c r="A11" s="26">
        <f>row()-7</f>
        <v/>
      </c>
      <c r="B11" s="28" t="inlineStr">
        <is>
          <t>Stocktaking &amp; Inventory Reconciliation</t>
        </is>
      </c>
      <c r="C11" s="36" t="inlineStr">
        <is>
          <t>Stocktaking &amp; Inventory Reconciliation</t>
        </is>
      </c>
      <c r="D11" s="60" t="inlineStr">
        <is>
          <t>Verify the periodic inventory process: Create an inventory check sheet, record the actual quantity of products, compare any discrepancies with the data in the software, approve the inventory check sheet to automatically adjust inventory quantities (increase/decrease due to loss or excess), and save the history.</t>
        </is>
      </c>
      <c r="E11" s="60" t="inlineStr">
        <is>
          <t>- The Warehouse Manager or Owner is logged in.
- List of products with active inventory.</t>
        </is>
      </c>
    </row>
    <row r="12">
      <c r="A12" s="26">
        <f>row()-7</f>
        <v/>
      </c>
      <c r="B12" s="28" t="inlineStr">
        <is>
          <t>Financial Cash Flow Recording</t>
        </is>
      </c>
      <c r="C12" s="36" t="inlineStr">
        <is>
          <t>Financial Cash Flow Recording</t>
        </is>
      </c>
      <c r="D12" s="60" t="inlineStr">
        <is>
          <t>Verify the cash flow management process for non-sales transactions: Create receipts (debt collection, capital contribution collection) or disbursements (store operating expenses, employee salaries, utilities), and the system automatically updates the corresponding balance in the cash book (Cash/Bank).</t>
        </is>
      </c>
      <c r="E12" s="60" t="inlineStr">
        <is>
          <t>- The owner is logged in.
- Fund accounts have been pre-configured.</t>
        </is>
      </c>
    </row>
    <row r="13">
      <c r="A13" s="26">
        <f>row()-7</f>
        <v/>
      </c>
      <c r="B13" s="28" t="inlineStr">
        <is>
          <t>Report Generation &amp; Business Analytics</t>
        </is>
      </c>
      <c r="C13" s="36" t="inlineStr">
        <is>
          <t>Report Generation &amp; Business Analytics</t>
        </is>
      </c>
      <c r="D13" s="60" t="inlineStr">
        <is>
          <t>Verification of transaction data aggregation process: The system automatically collects information from sales, purchases, and revenue/expenses to generate revenue reports over time, gross profit reports, below-limit inventory alerts, and export reports to Excel files.</t>
        </is>
      </c>
      <c r="E13" s="60" t="inlineStr">
        <is>
          <t>- The owner has successfully logged in.
- The system has generated the transaction data for the reporting period that needs to be viewed.</t>
        </is>
      </c>
    </row>
    <row r="14">
      <c r="A14" s="26">
        <f>row()-7</f>
        <v/>
      </c>
      <c r="B14" s="55" t="n"/>
      <c r="C14" s="57" t="n"/>
      <c r="D14" s="60" t="n"/>
      <c r="E14" s="60" t="n"/>
    </row>
    <row r="15">
      <c r="A15" s="26">
        <f>row()-7</f>
        <v/>
      </c>
      <c r="B15" s="55" t="n"/>
      <c r="C15" s="65" t="n"/>
      <c r="D15" s="60" t="n"/>
      <c r="E15" s="60" t="n"/>
    </row>
    <row r="16">
      <c r="A16" s="26">
        <f>row()-7</f>
        <v/>
      </c>
      <c r="B16" s="55" t="n"/>
      <c r="C16" s="57" t="n"/>
      <c r="D16" s="60" t="n"/>
      <c r="E16" s="60" t="n"/>
    </row>
    <row r="17">
      <c r="A17" s="26">
        <f>row()-7</f>
        <v/>
      </c>
      <c r="B17" s="55" t="n"/>
      <c r="C17" s="57" t="n"/>
      <c r="D17" s="60" t="n"/>
      <c r="E17" s="60" t="n"/>
    </row>
  </sheetData>
  <mergeCells count="6">
    <mergeCell ref="C2:E2"/>
    <mergeCell ref="A4:B4"/>
    <mergeCell ref="A2:B2"/>
    <mergeCell ref="C4:E4"/>
    <mergeCell ref="C3:E3"/>
    <mergeCell ref="A3:B3"/>
  </mergeCells>
  <hyperlinks>
    <hyperlink ref="C8" location="'User Account &amp; Role Configurati'!A1" display="User Account &amp; Role Configuration"/>
    <hyperlink ref="C9" location="'Goods Importation &amp; Inventory U'!A1" display="Goods Importation &amp; Inventory Update"/>
    <hyperlink ref="C10" location="'Point of Sale (POS) Order &amp; Pay'!A1" display="Point of Sale (POS) Order &amp; Payment"/>
    <hyperlink ref="C11" location="'Stocktaking &amp; Inventory Reconci'!A1" display="Stocktaking &amp; Inventory Reconciliation"/>
    <hyperlink ref="C12" location="'Financial Cash Flow Recording'!A1" display="Financial Cash Flow Recording"/>
    <hyperlink ref="C13" location="'Report Generation &amp; Business An'!A1" display="Report Generation &amp; Business Analytics"/>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G19"/>
  <sheetViews>
    <sheetView workbookViewId="0">
      <selection activeCell="A1" sqref="A1"/>
    </sheetView>
  </sheetViews>
  <sheetFormatPr baseColWidth="8" defaultColWidth="12.63" defaultRowHeight="15.75" customHeight="1"/>
  <cols>
    <col width="17.38" customWidth="1" style="103" min="1" max="1"/>
    <col width="21.75" customWidth="1" style="103" min="2" max="2"/>
    <col width="18.25" customWidth="1" style="103" min="7" max="7"/>
  </cols>
  <sheetData>
    <row r="1">
      <c r="A1" s="2" t="inlineStr">
        <is>
          <t>TEST STATISTICS</t>
        </is>
      </c>
    </row>
    <row r="2">
      <c r="A2" s="4" t="n"/>
      <c r="B2" s="4" t="n"/>
      <c r="C2" s="4" t="n"/>
      <c r="D2" s="4" t="n"/>
      <c r="E2" s="4" t="n"/>
      <c r="F2" s="4" t="n"/>
      <c r="G2" s="4" t="n"/>
    </row>
    <row r="3">
      <c r="A3" s="8" t="inlineStr">
        <is>
          <t>Project Name</t>
        </is>
      </c>
      <c r="B3" s="112" t="inlineStr">
        <is>
          <t>Finora</t>
        </is>
      </c>
      <c r="C3" s="106" t="n"/>
      <c r="D3" s="8" t="inlineStr">
        <is>
          <t>Creator</t>
        </is>
      </c>
      <c r="E3" s="106" t="n"/>
      <c r="F3" s="113" t="inlineStr">
        <is>
          <t>ChiHTH</t>
        </is>
      </c>
      <c r="G3" s="106" t="n"/>
    </row>
    <row r="4">
      <c r="A4" s="8" t="inlineStr">
        <is>
          <t>Project Code</t>
        </is>
      </c>
      <c r="B4" s="112" t="inlineStr">
        <is>
          <t xml:space="preserve">Finora_System_Test_v1.0		</t>
        </is>
      </c>
      <c r="C4" s="106" t="n"/>
      <c r="D4" s="8" t="inlineStr">
        <is>
          <t>Reviewer/Approver</t>
        </is>
      </c>
      <c r="E4" s="106" t="n"/>
      <c r="F4" s="114" t="inlineStr">
        <is>
          <t>Ynt</t>
        </is>
      </c>
      <c r="G4" s="115" t="n"/>
    </row>
    <row r="5">
      <c r="A5" s="8" t="inlineStr">
        <is>
          <t>Document Code</t>
        </is>
      </c>
      <c r="B5" s="112" t="inlineStr">
        <is>
          <t>Finora_Test Report_v1.0</t>
        </is>
      </c>
      <c r="C5" s="106" t="n"/>
      <c r="D5" s="8" t="inlineStr">
        <is>
          <t>Issue Date</t>
        </is>
      </c>
      <c r="E5" s="106" t="n"/>
      <c r="F5" s="116" t="n">
        <v>46223</v>
      </c>
      <c r="G5" s="115" t="n"/>
    </row>
    <row r="6">
      <c r="A6" s="8" t="inlineStr">
        <is>
          <t>Notes</t>
        </is>
      </c>
      <c r="B6" s="84" t="n"/>
      <c r="C6" s="105" t="n"/>
      <c r="D6" s="105" t="n"/>
      <c r="E6" s="105" t="n"/>
      <c r="F6" s="105" t="n"/>
      <c r="G6" s="106" t="n"/>
    </row>
    <row r="7">
      <c r="A7" s="4" t="n"/>
      <c r="B7" s="4" t="n"/>
      <c r="C7" s="4" t="n"/>
      <c r="D7" s="4" t="n"/>
      <c r="E7" s="4" t="n"/>
      <c r="F7" s="4" t="n"/>
      <c r="G7" s="4" t="n"/>
    </row>
    <row r="8">
      <c r="A8" s="4" t="n"/>
      <c r="B8" s="4" t="n"/>
      <c r="C8" s="4" t="n"/>
      <c r="D8" s="4" t="n"/>
      <c r="E8" s="4" t="n"/>
      <c r="F8" s="4" t="n"/>
      <c r="G8" s="4" t="n"/>
    </row>
    <row r="9">
      <c r="A9" s="4" t="n"/>
      <c r="B9" s="4" t="n"/>
      <c r="C9" s="4" t="n"/>
      <c r="D9" s="4" t="n"/>
      <c r="E9" s="4" t="n"/>
      <c r="F9" s="4" t="n"/>
      <c r="G9" s="4" t="n"/>
    </row>
    <row r="10">
      <c r="A10" s="31" t="inlineStr">
        <is>
          <t>No</t>
        </is>
      </c>
      <c r="B10" s="31" t="inlineStr">
        <is>
          <t>Module code</t>
        </is>
      </c>
      <c r="C10" s="31" t="inlineStr">
        <is>
          <t>Passed</t>
        </is>
      </c>
      <c r="D10" s="31" t="inlineStr">
        <is>
          <t>Failed</t>
        </is>
      </c>
      <c r="E10" s="31" t="inlineStr">
        <is>
          <t>Pending</t>
        </is>
      </c>
      <c r="F10" s="31" t="inlineStr">
        <is>
          <t>N/A</t>
        </is>
      </c>
      <c r="G10" s="35" t="inlineStr">
        <is>
          <t>Number of test cases</t>
        </is>
      </c>
    </row>
    <row r="11">
      <c r="A11" s="41">
        <f>row()-10</f>
        <v/>
      </c>
      <c r="B11" s="28" t="inlineStr">
        <is>
          <t>User Account &amp; Role Configuration</t>
        </is>
      </c>
      <c r="C11" s="41" t="n">
        <v>0</v>
      </c>
      <c r="D11" s="41" t="n">
        <v>0</v>
      </c>
      <c r="E11" s="41" t="n">
        <v>7</v>
      </c>
      <c r="F11" s="41" t="n"/>
      <c r="G11" s="41" t="n">
        <v>7</v>
      </c>
    </row>
    <row r="12">
      <c r="A12" s="41">
        <f>row()-10</f>
        <v/>
      </c>
      <c r="B12" s="28" t="inlineStr">
        <is>
          <t>Goods Importation &amp; Inventory Update</t>
        </is>
      </c>
      <c r="C12" s="41" t="n">
        <v>10</v>
      </c>
      <c r="D12" s="41" t="n">
        <v>0</v>
      </c>
      <c r="E12" s="41" t="n">
        <v>0</v>
      </c>
      <c r="F12" s="41" t="n"/>
      <c r="G12" s="41" t="n">
        <v>10</v>
      </c>
    </row>
    <row r="13">
      <c r="A13" s="41">
        <f>row()-10</f>
        <v/>
      </c>
      <c r="B13" s="28" t="inlineStr">
        <is>
          <t>Point of Sale (POS) Order &amp; Payment</t>
        </is>
      </c>
      <c r="C13" s="41" t="n">
        <v>0</v>
      </c>
      <c r="D13" s="41" t="n">
        <v>0</v>
      </c>
      <c r="E13" s="41" t="n">
        <v>7</v>
      </c>
      <c r="F13" s="41" t="n"/>
      <c r="G13" s="41" t="n">
        <v>7</v>
      </c>
    </row>
    <row r="14">
      <c r="A14" s="41">
        <f>row()-10</f>
        <v/>
      </c>
      <c r="B14" s="28" t="inlineStr">
        <is>
          <t>Stocktaking &amp; Inventory Reconciliation</t>
        </is>
      </c>
      <c r="C14" s="41" t="n">
        <v>12</v>
      </c>
      <c r="D14" s="41" t="n">
        <v>0</v>
      </c>
      <c r="E14" s="47" t="n">
        <v>0</v>
      </c>
      <c r="F14" s="41" t="n"/>
      <c r="G14" s="47" t="n">
        <v>12</v>
      </c>
    </row>
    <row r="15">
      <c r="A15" s="41">
        <f>row()-10</f>
        <v/>
      </c>
      <c r="B15" s="28" t="inlineStr">
        <is>
          <t>Financial Cash Flow Recording</t>
        </is>
      </c>
      <c r="C15" s="41" t="n">
        <v>0</v>
      </c>
      <c r="D15" s="41" t="n">
        <v>0</v>
      </c>
      <c r="E15" s="47" t="n">
        <v>4</v>
      </c>
      <c r="F15" s="41" t="n"/>
      <c r="G15" s="47" t="n">
        <v>4</v>
      </c>
    </row>
    <row r="16">
      <c r="A16" s="41">
        <f>row()-10</f>
        <v/>
      </c>
      <c r="B16" s="28" t="inlineStr">
        <is>
          <t>Report Generation &amp; Business Analytics</t>
        </is>
      </c>
      <c r="C16" s="41" t="n">
        <v>0</v>
      </c>
      <c r="D16" s="41" t="n">
        <v>0</v>
      </c>
      <c r="E16" s="47" t="n">
        <v>4</v>
      </c>
      <c r="F16" s="41" t="n"/>
      <c r="G16" s="47" t="n">
        <v>4</v>
      </c>
    </row>
    <row r="17">
      <c r="A17" s="52" t="n"/>
      <c r="B17" s="53" t="inlineStr">
        <is>
          <t>Sub total</t>
        </is>
      </c>
      <c r="C17" s="58">
        <f>SUM(C11:C16)</f>
        <v/>
      </c>
      <c r="D17" s="58">
        <f>SUM(D11:D16)</f>
        <v/>
      </c>
      <c r="E17" s="58">
        <f>SUM(E11:E16)</f>
        <v/>
      </c>
      <c r="F17" s="58">
        <f>SUM(F11:F16)</f>
        <v/>
      </c>
      <c r="G17" s="61">
        <f>SUM(G11:G16)</f>
        <v/>
      </c>
    </row>
    <row r="18">
      <c r="A18" s="84" t="n"/>
      <c r="B18" s="64" t="inlineStr">
        <is>
          <t>Test coverage</t>
        </is>
      </c>
      <c r="C18" s="84" t="n"/>
      <c r="D18" s="66" t="inlineStr">
        <is>
          <t>0.00</t>
        </is>
      </c>
      <c r="E18" s="67" t="inlineStr">
        <is>
          <t>%</t>
        </is>
      </c>
      <c r="F18" s="84" t="n"/>
      <c r="G18" s="84" t="n"/>
    </row>
    <row r="19">
      <c r="A19" s="84" t="n"/>
      <c r="B19" s="64" t="inlineStr">
        <is>
          <t>Test successful coverage</t>
        </is>
      </c>
      <c r="C19" s="106" t="n"/>
      <c r="D19" s="66" t="inlineStr">
        <is>
          <t>0.00</t>
        </is>
      </c>
      <c r="E19" s="67" t="inlineStr">
        <is>
          <t>%</t>
        </is>
      </c>
      <c r="F19" s="84" t="n"/>
      <c r="G19" s="84" t="n"/>
    </row>
  </sheetData>
  <mergeCells count="12">
    <mergeCell ref="F3:G3"/>
    <mergeCell ref="F4:G4"/>
    <mergeCell ref="A1:G1"/>
    <mergeCell ref="B3:C3"/>
    <mergeCell ref="B19:C19"/>
    <mergeCell ref="B5:C5"/>
    <mergeCell ref="F5:G5"/>
    <mergeCell ref="D5:E5"/>
    <mergeCell ref="D4:E4"/>
    <mergeCell ref="D3:E3"/>
    <mergeCell ref="B4:C4"/>
    <mergeCell ref="B6:G6"/>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B1:P14"/>
  <sheetViews>
    <sheetView workbookViewId="0">
      <selection activeCell="A1" sqref="A1"/>
    </sheetView>
  </sheetViews>
  <sheetFormatPr baseColWidth="8" defaultColWidth="12.63" defaultRowHeight="15.75" customHeight="1"/>
  <cols>
    <col width="19.38" customWidth="1" style="103" min="2" max="2"/>
    <col width="22.63" customWidth="1" style="103" min="3" max="3"/>
    <col width="34" customWidth="1" style="103" min="4" max="4"/>
    <col width="26.88" customWidth="1" style="103" min="5" max="5"/>
    <col width="30.38" customWidth="1" style="103" min="6" max="6"/>
  </cols>
  <sheetData>
    <row r="1">
      <c r="B1" s="1" t="inlineStr">
        <is>
          <t>Workflow</t>
        </is>
      </c>
      <c r="C1" s="28" t="inlineStr">
        <is>
          <t>Report Generation &amp; Business Analytics</t>
        </is>
      </c>
      <c r="D1" s="105" t="n"/>
      <c r="E1" s="105" t="n"/>
      <c r="F1" s="106" t="n"/>
      <c r="G1" s="4" t="n"/>
      <c r="H1" s="4" t="n"/>
      <c r="I1" s="4" t="n"/>
      <c r="J1" s="4" t="n"/>
      <c r="K1" s="4" t="n"/>
      <c r="L1" s="4" t="n"/>
      <c r="M1" s="4" t="n"/>
      <c r="N1" s="4" t="n"/>
      <c r="O1" s="4" t="n"/>
      <c r="P1" s="4" t="n"/>
    </row>
    <row r="2">
      <c r="B2" s="1" t="inlineStr">
        <is>
          <t>Test requirement</t>
        </is>
      </c>
      <c r="C2" s="60" t="inlineStr">
        <is>
          <t>Verification of transaction data aggregation process: The system automatically collects information from sales, purchases, and revenue/expenses to generate revenue reports over time, gross profit reports, below-limit inventory alerts, and export reports to Excel files.</t>
        </is>
      </c>
      <c r="D2" s="105" t="n"/>
      <c r="E2" s="105" t="n"/>
      <c r="F2" s="106" t="n"/>
      <c r="G2" s="4" t="n"/>
      <c r="H2" s="4" t="n"/>
      <c r="I2" s="4" t="n"/>
      <c r="J2" s="4" t="n"/>
      <c r="K2" s="4" t="n"/>
      <c r="L2" s="4" t="n"/>
      <c r="M2" s="4" t="n"/>
      <c r="N2" s="4" t="n"/>
      <c r="O2" s="4" t="n"/>
      <c r="P2" s="4" t="n"/>
    </row>
    <row r="3">
      <c r="B3" s="19" t="inlineStr">
        <is>
          <t>Number of TCs</t>
        </is>
      </c>
      <c r="C3" s="117" t="n">
        <v>4</v>
      </c>
      <c r="D3" s="105" t="n"/>
      <c r="E3" s="105" t="n"/>
      <c r="F3" s="106" t="n"/>
      <c r="G3" s="4" t="n"/>
      <c r="H3" s="4" t="n"/>
      <c r="I3" s="4" t="n"/>
      <c r="J3" s="4" t="n"/>
      <c r="K3" s="4" t="n"/>
      <c r="L3" s="4" t="n"/>
      <c r="M3" s="4" t="n"/>
      <c r="N3" s="4" t="n"/>
      <c r="O3" s="4" t="n"/>
      <c r="P3" s="4" t="n"/>
    </row>
    <row r="4">
      <c r="B4" s="27" t="inlineStr">
        <is>
          <t>Testing Round</t>
        </is>
      </c>
      <c r="C4" s="30" t="inlineStr">
        <is>
          <t>Passed</t>
        </is>
      </c>
      <c r="D4" s="30" t="inlineStr">
        <is>
          <t>Failed</t>
        </is>
      </c>
      <c r="E4" s="30" t="inlineStr">
        <is>
          <t>Pending</t>
        </is>
      </c>
      <c r="F4" s="33" t="inlineStr">
        <is>
          <t>N/A</t>
        </is>
      </c>
      <c r="G4" s="4" t="n"/>
      <c r="H4" s="4" t="n"/>
      <c r="I4" s="4" t="n"/>
      <c r="J4" s="4" t="n"/>
      <c r="K4" s="4" t="n"/>
      <c r="L4" s="4" t="n"/>
      <c r="M4" s="4" t="n"/>
      <c r="N4" s="4" t="n"/>
      <c r="O4" s="4" t="n"/>
      <c r="P4" s="4" t="n"/>
    </row>
    <row r="5">
      <c r="B5" s="27" t="inlineStr">
        <is>
          <t>Round 1</t>
        </is>
      </c>
      <c r="C5" s="39" t="n">
        <v>0</v>
      </c>
      <c r="D5" s="39" t="n">
        <v>0</v>
      </c>
      <c r="E5" s="39" t="n"/>
      <c r="F5" s="44" t="n">
        <v>0</v>
      </c>
      <c r="G5" s="4" t="n"/>
      <c r="H5" s="4" t="n"/>
      <c r="I5" s="4" t="n"/>
      <c r="J5" s="4" t="n"/>
      <c r="K5" s="4" t="n"/>
      <c r="L5" s="4" t="n"/>
      <c r="M5" s="4" t="n"/>
      <c r="N5" s="4" t="n"/>
      <c r="O5" s="4" t="n"/>
      <c r="P5" s="4" t="n"/>
    </row>
    <row r="6">
      <c r="B6" s="27" t="inlineStr">
        <is>
          <t>Round 2</t>
        </is>
      </c>
      <c r="C6" s="39" t="n">
        <v>0</v>
      </c>
      <c r="D6" s="39" t="n">
        <v>0</v>
      </c>
      <c r="E6" s="39" t="n"/>
      <c r="F6" s="44" t="n">
        <v>0</v>
      </c>
      <c r="G6" s="4" t="n"/>
      <c r="H6" s="4" t="n"/>
      <c r="I6" s="4" t="n"/>
      <c r="J6" s="4" t="n"/>
      <c r="K6" s="4" t="n"/>
      <c r="L6" s="4" t="n"/>
      <c r="M6" s="4" t="n"/>
      <c r="N6" s="4" t="n"/>
      <c r="O6" s="4" t="n"/>
      <c r="P6" s="4" t="n"/>
    </row>
    <row r="7">
      <c r="B7" s="27" t="inlineStr">
        <is>
          <t>Round 3</t>
        </is>
      </c>
      <c r="C7" s="44" t="n">
        <v>0</v>
      </c>
      <c r="D7" s="44" t="n">
        <v>0</v>
      </c>
      <c r="E7" s="44" t="n"/>
      <c r="F7" s="44" t="n">
        <v>0</v>
      </c>
      <c r="G7" s="4" t="n"/>
      <c r="H7" s="4" t="n"/>
      <c r="I7" s="4" t="n"/>
      <c r="J7" s="4" t="n"/>
      <c r="K7" s="4" t="n"/>
      <c r="L7" s="4" t="n"/>
      <c r="M7" s="4" t="n"/>
      <c r="N7" s="4" t="n"/>
      <c r="O7" s="4" t="n"/>
      <c r="P7" s="4" t="n"/>
    </row>
    <row r="8">
      <c r="B8" s="4" t="n"/>
      <c r="C8" s="4" t="n"/>
      <c r="D8" s="4" t="n"/>
      <c r="E8" s="4" t="n"/>
      <c r="F8" s="4" t="n"/>
      <c r="G8" s="4" t="n"/>
      <c r="H8" s="4" t="n"/>
      <c r="I8" s="4" t="n"/>
      <c r="J8" s="4" t="n"/>
      <c r="K8" s="4" t="n"/>
      <c r="L8" s="4" t="n"/>
      <c r="M8" s="4" t="n"/>
      <c r="N8" s="4" t="n"/>
      <c r="O8" s="4" t="n"/>
      <c r="P8" s="4" t="n"/>
    </row>
    <row r="9">
      <c r="B9" s="49" t="inlineStr">
        <is>
          <t>Test Case ID</t>
        </is>
      </c>
      <c r="C9" s="49" t="inlineStr">
        <is>
          <t>Test Case Description</t>
        </is>
      </c>
      <c r="D9" s="49" t="inlineStr">
        <is>
          <t>Test Case Procedure</t>
        </is>
      </c>
      <c r="E9" s="49" t="inlineStr">
        <is>
          <t>Expected Results</t>
        </is>
      </c>
      <c r="F9" s="49" t="inlineStr">
        <is>
          <t>Pre-conditions</t>
        </is>
      </c>
      <c r="G9" s="49" t="inlineStr">
        <is>
          <t>Round 1</t>
        </is>
      </c>
      <c r="H9" s="49" t="inlineStr">
        <is>
          <t>Test date</t>
        </is>
      </c>
      <c r="I9" s="49" t="inlineStr">
        <is>
          <t>Tester</t>
        </is>
      </c>
      <c r="J9" s="49" t="inlineStr">
        <is>
          <t>Round 2</t>
        </is>
      </c>
      <c r="K9" s="49" t="inlineStr">
        <is>
          <t>Test date</t>
        </is>
      </c>
      <c r="L9" s="49" t="inlineStr">
        <is>
          <t>Tester</t>
        </is>
      </c>
      <c r="M9" s="49" t="inlineStr">
        <is>
          <t>Round 3</t>
        </is>
      </c>
      <c r="N9" s="49" t="inlineStr">
        <is>
          <t>Test date</t>
        </is>
      </c>
      <c r="O9" s="49" t="inlineStr">
        <is>
          <t>Tester</t>
        </is>
      </c>
      <c r="P9" s="49" t="inlineStr">
        <is>
          <t>Note</t>
        </is>
      </c>
    </row>
    <row r="10">
      <c r="B10" s="118" t="inlineStr">
        <is>
          <t>Verify that the compiled report data matches the completed invoices, display the analytical charts, and check that the report file is uploaded in PDF/Excel format.</t>
        </is>
      </c>
      <c r="C10" s="105" t="n"/>
      <c r="D10" s="105" t="n"/>
      <c r="E10" s="105" t="n"/>
      <c r="F10" s="105" t="n"/>
      <c r="G10" s="105" t="n"/>
      <c r="H10" s="105" t="n"/>
      <c r="I10" s="105" t="n"/>
      <c r="J10" s="105" t="n"/>
      <c r="K10" s="105" t="n"/>
      <c r="L10" s="105" t="n"/>
      <c r="M10" s="105" t="n"/>
      <c r="N10" s="105" t="n"/>
      <c r="O10" s="105" t="n"/>
      <c r="P10" s="106" t="n"/>
    </row>
    <row r="11">
      <c r="B11" s="63" t="inlineStr">
        <is>
          <t>SYS_REP_01</t>
        </is>
      </c>
      <c r="C11" s="28" t="inlineStr">
        <is>
          <t>Owner generates, previews, and exports Employee Sales Report</t>
        </is>
      </c>
      <c r="D11" s="28" t="inlineStr">
        <is>
          <t>1. Log in to the system as Owner.
2. Click the "Báo cáo" menu and select "Báo cáo doanh số nhân viên" to navigate to /reports/employee-sales.
3. Configure the report filters:
- Branch: Select "Chi nhánh Quận 1"
- Timeframe: Select "Tháng này" (or From: 01/07/2026 To: 23/07/2026)
4. Click the "Xem báo cáo" button to load preview data.
5. Examine the summary table and column chart.
6. Click the "Xuất file PDF" button.</t>
        </is>
      </c>
      <c r="E11" s="28" t="inlineStr">
        <is>
          <t>- The preview area loads accurate sales statistics matching the selected filters.
- A PDF report document titled bao_cao_doanh_so_nhan_vien_July_2026.pdf downloads successfully.</t>
        </is>
      </c>
      <c r="F11" s="28" t="inlineStr">
        <is>
          <t>- Owner is logged in.
- Sales data exists within the selected timeframe.</t>
        </is>
      </c>
      <c r="G11" s="79" t="n"/>
      <c r="H11" s="70" t="n">
        <v>46224</v>
      </c>
      <c r="I11" s="84" t="n"/>
      <c r="J11" s="79" t="n"/>
      <c r="K11" s="84" t="n"/>
      <c r="L11" s="84" t="n"/>
      <c r="M11" s="79" t="n"/>
      <c r="N11" s="84" t="n"/>
      <c r="O11" s="84" t="n"/>
      <c r="P11" s="84" t="n"/>
    </row>
    <row r="12">
      <c r="B12" s="63" t="inlineStr">
        <is>
          <t>SYS_REP_02</t>
        </is>
      </c>
      <c r="C12" s="28" t="inlineStr">
        <is>
          <t>Owner generates and exports Customer Loyalty Report</t>
        </is>
      </c>
      <c r="D12" s="28" t="inlineStr">
        <is>
          <t>1. Log in to the system as Owner.
2. Click the "Báo cáo" menu and select "Báo cáo khách hàng thân thiết" at /reports/customer-loyal.
3. Configure the report filters:
- Branch: Select "Tất cả chi nhánh"
- Tier: Select "Vàng" (Gold)
4. Click the "Xem báo cáo" button.
5. Click the "Xuất file Excel" button.</t>
        </is>
      </c>
      <c r="E12" s="28" t="inlineStr">
        <is>
          <t>- The system displays a table of customers with the "Vàng" tier, including details like total spend, accumulated points, and redeemed points.
- An Excel file containing the filtered list of Gold-tier members downloads successfully.</t>
        </is>
      </c>
      <c r="F12" s="28" t="inlineStr">
        <is>
          <t>- Owner is logged in.
- Customer points and membership tiers exist in the database.</t>
        </is>
      </c>
      <c r="G12" s="79" t="n"/>
      <c r="H12" s="70" t="n">
        <v>46224</v>
      </c>
      <c r="I12" s="84" t="n"/>
      <c r="J12" s="79" t="n"/>
      <c r="K12" s="84" t="n"/>
      <c r="L12" s="84" t="n"/>
      <c r="M12" s="79" t="n"/>
      <c r="N12" s="84" t="n"/>
      <c r="O12" s="84" t="n"/>
      <c r="P12" s="84" t="n"/>
    </row>
    <row r="13">
      <c r="B13" s="63" t="inlineStr">
        <is>
          <t>SYS_REP_03</t>
        </is>
      </c>
      <c r="C13" s="28" t="inlineStr">
        <is>
          <t>Owner generates and exports Inventory Report</t>
        </is>
      </c>
      <c r="D13" s="28" t="inlineStr">
        <is>
          <t>1. Navigate to /reports/inventory as Owner.
2. Filter by branch: "Chi nhánh Quận 1" and stock status: "Dưới mức tối thiểu" (Under stock limit).
3. Click "Xem báo cáo".
4. Click "Xuất file PDF".</t>
        </is>
      </c>
      <c r="E13" s="28" t="inlineStr">
        <is>
          <t>- The system previews products at "Chi nhánh Quận 1" whose stock levels are below the alert threshold.
- A PDF report downloads showing the restocking requirements.</t>
        </is>
      </c>
      <c r="F13" s="28" t="inlineStr">
        <is>
          <t>- Owner is logged in.</t>
        </is>
      </c>
      <c r="G13" s="79" t="n"/>
      <c r="H13" s="70" t="n">
        <v>46224</v>
      </c>
      <c r="I13" s="84" t="n"/>
      <c r="J13" s="79" t="n"/>
      <c r="K13" s="84" t="n"/>
      <c r="L13" s="84" t="n"/>
      <c r="M13" s="79" t="n"/>
      <c r="N13" s="84" t="n"/>
      <c r="O13" s="84" t="n"/>
      <c r="P13" s="84" t="n"/>
    </row>
    <row r="14">
      <c r="B14" s="63" t="inlineStr">
        <is>
          <t>SYS_REP_04</t>
        </is>
      </c>
      <c r="C14" s="28" t="inlineStr">
        <is>
          <t>Owner generates Sales by Store Report</t>
        </is>
      </c>
      <c r="D14" s="28" t="inlineStr">
        <is>
          <t>1. Navigate to /reports/sales-by-store as Owner.
2. Filter by date: "Qúy này" (Current Quarter).
3. Click "Xem báo cáo".
4. Observe the store comparison pie chart.</t>
        </is>
      </c>
      <c r="E14" s="28" t="inlineStr">
        <is>
          <t>- The system compiles sales totals grouped by branch location for the current quarter and renders a comparative analysis visualization.</t>
        </is>
      </c>
      <c r="F14" s="28" t="inlineStr">
        <is>
          <t>- Owner is logged in.</t>
        </is>
      </c>
      <c r="G14" s="79" t="n"/>
      <c r="H14" s="74" t="n">
        <v>46224</v>
      </c>
      <c r="I14" s="84" t="n"/>
      <c r="J14" s="79" t="n"/>
      <c r="K14" s="84" t="n"/>
      <c r="L14" s="84" t="n"/>
      <c r="M14" s="79" t="n"/>
      <c r="N14" s="84" t="n"/>
      <c r="O14" s="84" t="n"/>
      <c r="P14" s="84" t="n"/>
    </row>
  </sheetData>
  <mergeCells count="4">
    <mergeCell ref="C2:F2"/>
    <mergeCell ref="C1:F1"/>
    <mergeCell ref="C3:F3"/>
    <mergeCell ref="B10:P1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B1:P15"/>
  <sheetViews>
    <sheetView workbookViewId="0">
      <selection activeCell="A1" sqref="A1"/>
    </sheetView>
  </sheetViews>
  <sheetFormatPr baseColWidth="8" defaultColWidth="12.63" defaultRowHeight="15.75" customHeight="1"/>
  <cols>
    <col width="18" customWidth="1" style="103" min="2" max="2"/>
    <col width="22.88" customWidth="1" style="103" min="3" max="3"/>
    <col width="35.38" customWidth="1" style="103" min="4" max="4"/>
    <col width="39" customWidth="1" style="103" min="5" max="5"/>
    <col width="29" customWidth="1" style="103" min="6" max="6"/>
  </cols>
  <sheetData>
    <row r="1">
      <c r="B1" s="1" t="inlineStr">
        <is>
          <t>Workflow</t>
        </is>
      </c>
      <c r="C1" s="28" t="inlineStr">
        <is>
          <t>Financial Cash Flow Recording</t>
        </is>
      </c>
      <c r="D1" s="105" t="n"/>
      <c r="E1" s="105" t="n"/>
      <c r="F1" s="106" t="n"/>
      <c r="G1" s="4" t="n"/>
      <c r="H1" s="4" t="n"/>
      <c r="I1" s="4" t="n"/>
      <c r="J1" s="4" t="n"/>
      <c r="K1" s="4" t="n"/>
      <c r="L1" s="4" t="n"/>
      <c r="M1" s="4" t="n"/>
      <c r="N1" s="4" t="n"/>
      <c r="O1" s="4" t="n"/>
      <c r="P1" s="4" t="n"/>
    </row>
    <row r="2">
      <c r="B2" s="1" t="inlineStr">
        <is>
          <t>Test requirement</t>
        </is>
      </c>
      <c r="C2" s="60" t="inlineStr">
        <is>
          <t>Verify the cash flow management process for non-sales transactions: Create receipts (debt collection, capital contribution collection) or disbursements (store operating expenses, employee salaries, utilities), and the system automatically updates the corresponding balance in the cash book (Cash/Bank).</t>
        </is>
      </c>
      <c r="D2" s="105" t="n"/>
      <c r="E2" s="105" t="n"/>
      <c r="F2" s="106" t="n"/>
      <c r="G2" s="4" t="n"/>
      <c r="H2" s="4" t="n"/>
      <c r="I2" s="4" t="n"/>
      <c r="J2" s="4" t="n"/>
      <c r="K2" s="4" t="n"/>
      <c r="L2" s="4" t="n"/>
      <c r="M2" s="4" t="n"/>
      <c r="N2" s="4" t="n"/>
      <c r="O2" s="4" t="n"/>
      <c r="P2" s="4" t="n"/>
    </row>
    <row r="3">
      <c r="B3" s="19" t="inlineStr">
        <is>
          <t>Number of TCs</t>
        </is>
      </c>
      <c r="C3" s="117" t="n">
        <v>4</v>
      </c>
      <c r="D3" s="105" t="n"/>
      <c r="E3" s="105" t="n"/>
      <c r="F3" s="106" t="n"/>
      <c r="G3" s="4" t="n"/>
      <c r="H3" s="4" t="n"/>
      <c r="I3" s="4" t="n"/>
      <c r="J3" s="4" t="n"/>
      <c r="K3" s="4" t="n"/>
      <c r="L3" s="4" t="n"/>
      <c r="M3" s="4" t="n"/>
      <c r="N3" s="4" t="n"/>
      <c r="O3" s="4" t="n"/>
      <c r="P3" s="4" t="n"/>
    </row>
    <row r="4">
      <c r="B4" s="27" t="inlineStr">
        <is>
          <t>Testing Round</t>
        </is>
      </c>
      <c r="C4" s="30" t="inlineStr">
        <is>
          <t>Passed</t>
        </is>
      </c>
      <c r="D4" s="30" t="inlineStr">
        <is>
          <t>Failed</t>
        </is>
      </c>
      <c r="E4" s="30" t="inlineStr">
        <is>
          <t>Pending</t>
        </is>
      </c>
      <c r="F4" s="33" t="inlineStr">
        <is>
          <t>N/A</t>
        </is>
      </c>
      <c r="G4" s="4" t="n"/>
      <c r="H4" s="4" t="n"/>
      <c r="I4" s="4" t="n"/>
      <c r="J4" s="4" t="n"/>
      <c r="K4" s="4" t="n"/>
      <c r="L4" s="4" t="n"/>
      <c r="M4" s="4" t="n"/>
      <c r="N4" s="4" t="n"/>
      <c r="O4" s="4" t="n"/>
      <c r="P4" s="4" t="n"/>
    </row>
    <row r="5">
      <c r="B5" s="27" t="inlineStr">
        <is>
          <t>Round 1</t>
        </is>
      </c>
      <c r="C5" s="39" t="n">
        <v>0</v>
      </c>
      <c r="D5" s="39" t="n">
        <v>0</v>
      </c>
      <c r="E5" s="39" t="n"/>
      <c r="F5" s="44" t="n">
        <v>0</v>
      </c>
      <c r="G5" s="4" t="n"/>
      <c r="H5" s="4" t="n"/>
      <c r="I5" s="4" t="n"/>
      <c r="J5" s="4" t="n"/>
      <c r="K5" s="4" t="n"/>
      <c r="L5" s="4" t="n"/>
      <c r="M5" s="4" t="n"/>
      <c r="N5" s="4" t="n"/>
      <c r="O5" s="4" t="n"/>
      <c r="P5" s="4" t="n"/>
    </row>
    <row r="6">
      <c r="B6" s="27" t="inlineStr">
        <is>
          <t>Round 2</t>
        </is>
      </c>
      <c r="C6" s="39" t="n">
        <v>0</v>
      </c>
      <c r="D6" s="39" t="n">
        <v>0</v>
      </c>
      <c r="E6" s="39" t="n"/>
      <c r="F6" s="44" t="n">
        <v>0</v>
      </c>
      <c r="G6" s="4" t="n"/>
      <c r="H6" s="4" t="n"/>
      <c r="I6" s="4" t="n"/>
      <c r="J6" s="4" t="n"/>
      <c r="K6" s="4" t="n"/>
      <c r="L6" s="4" t="n"/>
      <c r="M6" s="4" t="n"/>
      <c r="N6" s="4" t="n"/>
      <c r="O6" s="4" t="n"/>
      <c r="P6" s="4" t="n"/>
    </row>
    <row r="7">
      <c r="B7" s="27" t="inlineStr">
        <is>
          <t>Round 3</t>
        </is>
      </c>
      <c r="C7" s="44" t="n">
        <v>0</v>
      </c>
      <c r="D7" s="44" t="n">
        <v>0</v>
      </c>
      <c r="E7" s="44" t="n"/>
      <c r="F7" s="44" t="n">
        <v>0</v>
      </c>
      <c r="G7" s="4" t="n"/>
      <c r="H7" s="4" t="n"/>
      <c r="I7" s="4" t="n"/>
      <c r="J7" s="4" t="n"/>
      <c r="K7" s="4" t="n"/>
      <c r="L7" s="4" t="n"/>
      <c r="M7" s="4" t="n"/>
      <c r="N7" s="4" t="n"/>
      <c r="O7" s="4" t="n"/>
      <c r="P7" s="4" t="n"/>
    </row>
    <row r="8">
      <c r="B8" s="4" t="n"/>
      <c r="C8" s="4" t="n"/>
      <c r="D8" s="4" t="n"/>
      <c r="E8" s="4" t="n"/>
      <c r="F8" s="4" t="n"/>
      <c r="G8" s="4" t="n"/>
      <c r="H8" s="4" t="n"/>
      <c r="I8" s="4" t="n"/>
      <c r="J8" s="4" t="n"/>
      <c r="K8" s="4" t="n"/>
      <c r="L8" s="4" t="n"/>
      <c r="M8" s="4" t="n"/>
      <c r="N8" s="4" t="n"/>
      <c r="O8" s="4" t="n"/>
      <c r="P8" s="4" t="n"/>
    </row>
    <row r="9">
      <c r="B9" s="49" t="inlineStr">
        <is>
          <t>Test Case ID</t>
        </is>
      </c>
      <c r="C9" s="49" t="inlineStr">
        <is>
          <t>Test Case Description</t>
        </is>
      </c>
      <c r="D9" s="49" t="inlineStr">
        <is>
          <t>Test Case Procedure</t>
        </is>
      </c>
      <c r="E9" s="49" t="inlineStr">
        <is>
          <t>Expected Results</t>
        </is>
      </c>
      <c r="F9" s="49" t="inlineStr">
        <is>
          <t>Pre-conditions</t>
        </is>
      </c>
      <c r="G9" s="49" t="inlineStr">
        <is>
          <t>Round 1</t>
        </is>
      </c>
      <c r="H9" s="49" t="inlineStr">
        <is>
          <t>Test date</t>
        </is>
      </c>
      <c r="I9" s="49" t="inlineStr">
        <is>
          <t>Tester</t>
        </is>
      </c>
      <c r="J9" s="49" t="inlineStr">
        <is>
          <t>Round 2</t>
        </is>
      </c>
      <c r="K9" s="49" t="inlineStr">
        <is>
          <t>Test date</t>
        </is>
      </c>
      <c r="L9" s="49" t="inlineStr">
        <is>
          <t>Tester</t>
        </is>
      </c>
      <c r="M9" s="49" t="inlineStr">
        <is>
          <t>Round 3</t>
        </is>
      </c>
      <c r="N9" s="49" t="inlineStr">
        <is>
          <t>Test date</t>
        </is>
      </c>
      <c r="O9" s="49" t="inlineStr">
        <is>
          <t>Tester</t>
        </is>
      </c>
      <c r="P9" s="49" t="inlineStr">
        <is>
          <t>Note</t>
        </is>
      </c>
    </row>
    <row r="10">
      <c r="B10" s="118" t="inlineStr">
        <is>
          <t>Test the business flow for creating a receipt ("Create Receipt") and a payment voucher ("Create Payment Voucher").</t>
        </is>
      </c>
      <c r="C10" s="105" t="n"/>
      <c r="D10" s="105" t="n"/>
      <c r="E10" s="105" t="n"/>
      <c r="F10" s="105" t="n"/>
      <c r="G10" s="105" t="n"/>
      <c r="H10" s="105" t="n"/>
      <c r="I10" s="105" t="n"/>
      <c r="J10" s="105" t="n"/>
      <c r="K10" s="105" t="n"/>
      <c r="L10" s="105" t="n"/>
      <c r="M10" s="105" t="n"/>
      <c r="N10" s="105" t="n"/>
      <c r="O10" s="105" t="n"/>
      <c r="P10" s="106" t="n"/>
    </row>
    <row r="11">
      <c r="B11" s="80" t="inlineStr">
        <is>
          <t>SYS_FIN_01</t>
        </is>
      </c>
      <c r="C11" s="82" t="inlineStr">
        <is>
          <t>StoreManager creates a Receipt Voucher (Phiếu thu) successfully</t>
        </is>
      </c>
      <c r="D11" s="82" t="inlineStr">
        <is>
          <t>1. Log in as StoreManager or Owner.
2. Click the "Sổ quỹ" menu on the sidebar to access the /cashbook dashboard.
3. Click the "Lập phiếu thu" button.
4. Fill in the Receipt Voucher form:
- Số tiền: Input "500,000"
- Hình thức thu: Select "Tiền mặt"
- Ghi chú: Input "Thu tiền bán tủ cũ"
5. Click the "Lưu phiếu thu" button.</t>
        </is>
      </c>
      <c r="E11" s="82" t="inlineStr">
        <is>
          <t>- The system displays success message: "Lập phiếu thu thành công."
- A receipt entry of 500,000đ is added to the Cashbook list.
- The cash balance on the Dashboard increases by 500,000đ.
- The cash flow chart updates to reflect the income.</t>
        </is>
      </c>
      <c r="F11" s="82" t="inlineStr">
        <is>
          <t>- StoreManager or Owner account is logged in.
- An active shift is open (if dealing with cash register transactions).</t>
        </is>
      </c>
      <c r="G11" s="79" t="inlineStr">
        <is>
          <t>Passed</t>
        </is>
      </c>
      <c r="H11" s="70" t="n">
        <v>46224</v>
      </c>
      <c r="I11" s="84" t="inlineStr">
        <is>
          <t>ChiHTH</t>
        </is>
      </c>
      <c r="J11" s="79" t="inlineStr">
        <is>
          <t>Passed</t>
        </is>
      </c>
      <c r="K11" s="86" t="n">
        <v>46225</v>
      </c>
      <c r="L11" s="84" t="inlineStr">
        <is>
          <t>ChiHTH</t>
        </is>
      </c>
      <c r="M11" s="79" t="inlineStr">
        <is>
          <t>Passed</t>
        </is>
      </c>
      <c r="N11" s="74" t="n">
        <v>46227</v>
      </c>
      <c r="O11" s="79" t="inlineStr">
        <is>
          <t>Passed</t>
        </is>
      </c>
      <c r="P11" s="84" t="n"/>
    </row>
    <row r="12">
      <c r="B12" s="80" t="inlineStr">
        <is>
          <t>SYS_FIN_02</t>
        </is>
      </c>
      <c r="C12" s="82" t="inlineStr">
        <is>
          <t>StoreManager creates a Payment Voucher (Phiếu chi) successfully</t>
        </is>
      </c>
      <c r="D12" s="82" t="inlineStr">
        <is>
          <t>1. Log in as StoreManager or Owner.
2. Click the "Sổ quỹ" menu to access /cashbook.
3. Click the "Lập phiếu chi" button.
4. Fill in the Payment Voucher form:
- Số tiền: Input "350,000"
- Phương thức thanh toán: Select "Tiền mặt"
- Ghi chú: Input "Cửa hàng sách Fahasa"
5. Click the "Lưu phiếu chi" button.</t>
        </is>
      </c>
      <c r="E12" s="82" t="inlineStr">
        <is>
          <t>- The system displays success message: "Lập phiếu chi thành công."
- A payment entry of -350,000đ is added to the transaction list.
- The cash balance decreases by 350,000đ.</t>
        </is>
      </c>
      <c r="F12" s="82" t="inlineStr">
        <is>
          <t>- The current cash balance is equal to or greater than the payment value (350,000đ).</t>
        </is>
      </c>
      <c r="G12" s="79" t="inlineStr">
        <is>
          <t>Passed</t>
        </is>
      </c>
      <c r="H12" s="70" t="n">
        <v>46224</v>
      </c>
      <c r="I12" s="84" t="inlineStr">
        <is>
          <t>ChiHTH</t>
        </is>
      </c>
      <c r="J12" s="79" t="inlineStr">
        <is>
          <t>Passed</t>
        </is>
      </c>
      <c r="K12" s="86" t="n">
        <v>46225</v>
      </c>
      <c r="L12" s="84" t="inlineStr">
        <is>
          <t>ChiHTH</t>
        </is>
      </c>
      <c r="M12" s="79" t="inlineStr">
        <is>
          <t>Passed</t>
        </is>
      </c>
      <c r="N12" s="74" t="n">
        <v>46227</v>
      </c>
      <c r="O12" s="79" t="inlineStr">
        <is>
          <t>Passed</t>
        </is>
      </c>
      <c r="P12" s="84" t="n"/>
    </row>
    <row r="13">
      <c r="B13" s="118" t="inlineStr">
        <is>
          <t>The validation logic blocks the creation of payment vouchers exceeding the current cash balance ("The cash fund balance is insufficient to make this payment.").</t>
        </is>
      </c>
      <c r="C13" s="105" t="n"/>
      <c r="D13" s="105" t="n"/>
      <c r="E13" s="105" t="n"/>
      <c r="F13" s="105" t="n"/>
      <c r="G13" s="105" t="n"/>
      <c r="H13" s="105" t="n"/>
      <c r="I13" s="105" t="n"/>
      <c r="J13" s="105" t="n"/>
      <c r="K13" s="105" t="n"/>
      <c r="L13" s="105" t="n"/>
      <c r="M13" s="105" t="n"/>
      <c r="N13" s="105" t="n"/>
      <c r="O13" s="105" t="n"/>
      <c r="P13" s="106" t="n"/>
    </row>
    <row r="14">
      <c r="B14" s="80" t="inlineStr">
        <is>
          <t>SYS_FIN_03</t>
        </is>
      </c>
      <c r="C14" s="82" t="inlineStr">
        <is>
          <t>StoreManager creates a Payment Voucher exceeding cashbook balance (Validation Alert)</t>
        </is>
      </c>
      <c r="D14" s="82" t="inlineStr">
        <is>
          <t>1. Log in as StoreManager or Owner.
2. Click the "Sổ quỹ" menu to access /cashbook.
3. Click the "Lập phiếu chi" button.
4. Fill in the Payment Voucher form:
- Số tiền: Input "999,999,999"
- Phương thức thanh toán: Select "Tiền mặt"
- Ghi chú: Input "Chi tiền mặt bằng"
5. Click the "Lưu phiếu chi" button.</t>
        </is>
      </c>
      <c r="E14" s="82" t="inlineStr">
        <is>
          <t>- The system shows a warning dialog: "Số dư quỹ tiền mặt không đủ để thực hiện chi khoản này."
- The submission is blocked.</t>
        </is>
      </c>
      <c r="F14" s="82" t="inlineStr">
        <is>
          <t>- StoreManager is logged in.</t>
        </is>
      </c>
      <c r="G14" s="79" t="inlineStr">
        <is>
          <t>Failed</t>
        </is>
      </c>
      <c r="H14" s="70" t="n">
        <v>46224</v>
      </c>
      <c r="I14" s="84" t="n"/>
      <c r="J14" s="79" t="n"/>
      <c r="K14" s="84" t="n"/>
      <c r="L14" s="84" t="n"/>
      <c r="M14" s="79" t="n"/>
      <c r="N14" s="84" t="n"/>
      <c r="O14" s="84" t="n"/>
      <c r="P14" s="84" t="n"/>
    </row>
    <row r="15">
      <c r="B15" s="80" t="inlineStr">
        <is>
          <t>SYS_FIN_04</t>
        </is>
      </c>
      <c r="C15" s="82" t="inlineStr">
        <is>
          <t>Owner views and filters cashbook transactions</t>
        </is>
      </c>
      <c r="D15" s="82" t="inlineStr">
        <is>
          <t>1. Log in as Owner and go to /cashbook.
2. Click the transaction type filter: "Loại giao dịch" and select "Chỉ hiển thị Phiếu chi".
3. Choose date range: "Từ ngày" 01/07/2026 "Đến ngày" 15/07/2026.
4. Click "Tìm kiếm".</t>
        </is>
      </c>
      <c r="E15" s="82" t="inlineStr">
        <is>
          <t>- The Cashbook table updates via AJAX to display only Payment Vouchers (Phiếu chi) completed within the specified dates.</t>
        </is>
      </c>
      <c r="F15" s="82" t="inlineStr">
        <is>
          <t>- Owner is logged in.</t>
        </is>
      </c>
      <c r="G15" s="79" t="n"/>
      <c r="H15" s="70" t="n">
        <v>46224</v>
      </c>
      <c r="I15" s="84" t="n"/>
      <c r="J15" s="79" t="n"/>
      <c r="K15" s="84" t="n"/>
      <c r="L15" s="84" t="n"/>
      <c r="M15" s="79" t="n"/>
      <c r="N15" s="84" t="n"/>
      <c r="O15" s="84" t="n"/>
      <c r="P15" s="84" t="n"/>
    </row>
  </sheetData>
  <mergeCells count="5">
    <mergeCell ref="C3:F3"/>
    <mergeCell ref="B10:P10"/>
    <mergeCell ref="C1:F1"/>
    <mergeCell ref="C2:F2"/>
    <mergeCell ref="B13:P13"/>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B1:P24"/>
  <sheetViews>
    <sheetView workbookViewId="0">
      <selection activeCell="A1" sqref="A1"/>
    </sheetView>
  </sheetViews>
  <sheetFormatPr baseColWidth="8" defaultColWidth="12.63" defaultRowHeight="15.75" customHeight="1"/>
  <cols>
    <col width="19.5" customWidth="1" style="103" min="2" max="2"/>
    <col width="17.75" customWidth="1" style="103" min="3" max="3"/>
    <col width="33.63" customWidth="1" style="103" min="4" max="4"/>
    <col width="29.88" customWidth="1" style="103" min="5" max="5"/>
    <col width="29.38" customWidth="1" style="103" min="6" max="6"/>
  </cols>
  <sheetData>
    <row r="1">
      <c r="B1" s="1" t="inlineStr">
        <is>
          <t>Workflow</t>
        </is>
      </c>
      <c r="C1" s="28" t="inlineStr">
        <is>
          <t>Stocktaking &amp; Inventory Reconciliation</t>
        </is>
      </c>
      <c r="D1" s="105" t="n"/>
      <c r="E1" s="105" t="n"/>
      <c r="F1" s="106" t="n"/>
      <c r="G1" s="4" t="n"/>
      <c r="H1" s="4" t="n"/>
      <c r="I1" s="4" t="n"/>
      <c r="J1" s="4" t="n"/>
      <c r="K1" s="4" t="n"/>
      <c r="L1" s="4" t="n"/>
      <c r="M1" s="4" t="n"/>
      <c r="N1" s="4" t="n"/>
      <c r="O1" s="4" t="n"/>
      <c r="P1" s="4" t="n"/>
    </row>
    <row r="2">
      <c r="B2" s="1" t="inlineStr">
        <is>
          <t>Test requirement</t>
        </is>
      </c>
      <c r="C2" s="60" t="inlineStr">
        <is>
          <t>Verify the periodic inventory process: Create an inventory check sheet, record the actual quantity of products, compare any discrepancies with the data in the software, approve the inventory check sheet to automatically adjust inventory quantities (increase/decrease due to loss or excess), and save the history.</t>
        </is>
      </c>
      <c r="D2" s="105" t="n"/>
      <c r="E2" s="105" t="n"/>
      <c r="F2" s="106" t="n"/>
      <c r="G2" s="4" t="n"/>
      <c r="H2" s="4" t="n"/>
      <c r="I2" s="4" t="n"/>
      <c r="J2" s="4" t="n"/>
      <c r="K2" s="4" t="n"/>
      <c r="L2" s="4" t="n"/>
      <c r="M2" s="4" t="n"/>
      <c r="N2" s="4" t="n"/>
      <c r="O2" s="4" t="n"/>
      <c r="P2" s="4" t="n"/>
    </row>
    <row r="3">
      <c r="B3" s="19" t="inlineStr">
        <is>
          <t>Number of TCs</t>
        </is>
      </c>
      <c r="C3" s="117" t="n">
        <v>12</v>
      </c>
      <c r="D3" s="105" t="n"/>
      <c r="E3" s="105" t="n"/>
      <c r="F3" s="106" t="n"/>
      <c r="G3" s="4" t="n"/>
      <c r="H3" s="4" t="n"/>
      <c r="I3" s="4" t="n"/>
      <c r="J3" s="4" t="n"/>
      <c r="K3" s="4" t="n"/>
      <c r="L3" s="4" t="n"/>
      <c r="M3" s="4" t="n"/>
      <c r="N3" s="4" t="n"/>
      <c r="O3" s="4" t="n"/>
      <c r="P3" s="4" t="n"/>
    </row>
    <row r="4">
      <c r="B4" s="27" t="inlineStr">
        <is>
          <t>Testing Round</t>
        </is>
      </c>
      <c r="C4" s="30" t="inlineStr">
        <is>
          <t>Passed</t>
        </is>
      </c>
      <c r="D4" s="30" t="inlineStr">
        <is>
          <t>Failed</t>
        </is>
      </c>
      <c r="E4" s="30" t="inlineStr">
        <is>
          <t>Pending</t>
        </is>
      </c>
      <c r="F4" s="33" t="inlineStr">
        <is>
          <t>N/A</t>
        </is>
      </c>
      <c r="G4" s="4" t="n"/>
      <c r="H4" s="4" t="n"/>
      <c r="I4" s="4" t="n"/>
      <c r="J4" s="4" t="n"/>
      <c r="K4" s="4" t="n"/>
      <c r="L4" s="4" t="n"/>
      <c r="M4" s="4" t="n"/>
      <c r="N4" s="4" t="n"/>
      <c r="O4" s="4" t="n"/>
      <c r="P4" s="4" t="n"/>
    </row>
    <row r="5">
      <c r="B5" s="27" t="inlineStr">
        <is>
          <t>Round 1</t>
        </is>
      </c>
      <c r="C5" s="39" t="n">
        <v>12</v>
      </c>
      <c r="D5" s="39" t="n">
        <v>0</v>
      </c>
      <c r="E5" s="39" t="n">
        <v>0</v>
      </c>
      <c r="F5" s="44" t="n">
        <v>0</v>
      </c>
      <c r="G5" s="4" t="n"/>
      <c r="H5" s="4" t="n"/>
      <c r="I5" s="4" t="n"/>
      <c r="J5" s="4" t="n"/>
      <c r="K5" s="4" t="n"/>
      <c r="L5" s="4" t="n"/>
      <c r="M5" s="4" t="n"/>
      <c r="N5" s="4" t="n"/>
      <c r="O5" s="4" t="n"/>
      <c r="P5" s="4" t="n"/>
    </row>
    <row r="6">
      <c r="B6" s="27" t="inlineStr">
        <is>
          <t>Round 2</t>
        </is>
      </c>
      <c r="C6" s="39" t="n">
        <v>0</v>
      </c>
      <c r="D6" s="39" t="n">
        <v>0</v>
      </c>
      <c r="E6" s="39" t="n"/>
      <c r="F6" s="44" t="n">
        <v>0</v>
      </c>
      <c r="G6" s="4" t="n"/>
      <c r="H6" s="4" t="n"/>
      <c r="I6" s="4" t="n"/>
      <c r="J6" s="4" t="n"/>
      <c r="K6" s="4" t="n"/>
      <c r="L6" s="4" t="n"/>
      <c r="M6" s="4" t="n"/>
      <c r="N6" s="4" t="n"/>
      <c r="O6" s="4" t="n"/>
      <c r="P6" s="4" t="n"/>
    </row>
    <row r="7">
      <c r="B7" s="27" t="inlineStr">
        <is>
          <t>Round 3</t>
        </is>
      </c>
      <c r="C7" s="44" t="n">
        <v>0</v>
      </c>
      <c r="D7" s="44" t="n">
        <v>0</v>
      </c>
      <c r="E7" s="44" t="n"/>
      <c r="F7" s="44" t="n">
        <v>0</v>
      </c>
      <c r="G7" s="4" t="n"/>
      <c r="H7" s="4" t="n"/>
      <c r="I7" s="4" t="n"/>
      <c r="J7" s="4" t="n"/>
      <c r="K7" s="4" t="n"/>
      <c r="L7" s="4" t="n"/>
      <c r="M7" s="4" t="n"/>
      <c r="N7" s="4" t="n"/>
      <c r="O7" s="4" t="n"/>
      <c r="P7" s="4" t="n"/>
    </row>
    <row r="8">
      <c r="B8" s="4" t="n"/>
      <c r="C8" s="4" t="n"/>
      <c r="D8" s="4" t="n"/>
      <c r="E8" s="4" t="n"/>
      <c r="F8" s="4" t="n"/>
      <c r="G8" s="4" t="n"/>
      <c r="H8" s="4" t="n"/>
      <c r="I8" s="4" t="n"/>
      <c r="J8" s="4" t="n"/>
      <c r="K8" s="4" t="n"/>
      <c r="L8" s="4" t="n"/>
      <c r="M8" s="4" t="n"/>
      <c r="N8" s="4" t="n"/>
      <c r="O8" s="4" t="n"/>
      <c r="P8" s="4" t="n"/>
    </row>
    <row r="9">
      <c r="B9" s="49" t="inlineStr">
        <is>
          <t>Test Case ID</t>
        </is>
      </c>
      <c r="C9" s="49" t="inlineStr">
        <is>
          <t>Test Case Description</t>
        </is>
      </c>
      <c r="D9" s="49" t="inlineStr">
        <is>
          <t>Test Case Procedure</t>
        </is>
      </c>
      <c r="E9" s="49" t="inlineStr">
        <is>
          <t>Expected Results</t>
        </is>
      </c>
      <c r="F9" s="49" t="inlineStr">
        <is>
          <t>Pre-conditions</t>
        </is>
      </c>
      <c r="G9" s="49" t="inlineStr">
        <is>
          <t>Round 1</t>
        </is>
      </c>
      <c r="H9" s="49" t="inlineStr">
        <is>
          <t>Test date</t>
        </is>
      </c>
      <c r="I9" s="49" t="inlineStr">
        <is>
          <t>Tester</t>
        </is>
      </c>
      <c r="J9" s="49" t="inlineStr">
        <is>
          <t>Round 2</t>
        </is>
      </c>
      <c r="K9" s="49" t="inlineStr">
        <is>
          <t>Test date</t>
        </is>
      </c>
      <c r="L9" s="49" t="inlineStr">
        <is>
          <t>Tester</t>
        </is>
      </c>
      <c r="M9" s="49" t="inlineStr">
        <is>
          <t>Round 3</t>
        </is>
      </c>
      <c r="N9" s="49" t="inlineStr">
        <is>
          <t>Test date</t>
        </is>
      </c>
      <c r="O9" s="49" t="inlineStr">
        <is>
          <t>Tester</t>
        </is>
      </c>
      <c r="P9" s="49" t="inlineStr">
        <is>
          <t>Note</t>
        </is>
      </c>
    </row>
    <row r="10">
      <c r="B10" s="118" t="inlineStr">
        <is>
          <t xml:space="preserve">Verify periodic inventory process: Create inventory check sheet, record actual quantity, compare discrepancies, approve/reconcile check sheet, adjust stock, and enforce role permissions.			</t>
        </is>
      </c>
    </row>
    <row r="11">
      <c r="B11" s="119" t="inlineStr">
        <is>
          <t>SYS_STOC_01</t>
        </is>
      </c>
      <c r="C11" s="120" t="inlineStr">
        <is>
          <t>WarehouseStaff creates a Stock Check sheet with discrepancies using Excel template</t>
        </is>
      </c>
      <c r="D11" s="120" t="inlineStr">
        <is>
          <t>1. Log in as WarehouseStaff.
2. Click "Quản lý kho" menu and select "Kiểm kho" tab at /inventory?tab=check.
3. Click "Nhập Phiếu Kiểm Kho" button -&gt; redirects to /inventory?tab=createCheck.
4. Click card "1. Lấy Tồn Kho Hiện Tại (Tải Excel)" -&gt; system downloads Mau_Kiem_Kho_[Warehouse]_[Date].xlsx.
5. Open Excel file, fill actual count "98" into column "Tồn Thực Tế" (system stock displays 100, discrepancy -2), and input note "Hàng bị móp méo, đã hủy". Save file.
6. On web screen, click card "2. Nhập Sau Khi Kiểm (Excel)" -&gt; select the filled .xlsx file. JS parses file, renders rows into product table, displays discrepancy (-2), and enables submit button.
7. Click "Lưu Phiếu Nhập Kiểm Kho" button.</t>
        </is>
      </c>
      <c r="E11" s="120" t="inlineStr">
        <is>
          <t>- System displays success message: "Đã lập phiếu kiểm kho (Chờ quản lý phê duyệt)!"
- Stock check ticket is created in DB with status PENDING.
- Ticket appears in list with badge "CHỜ DUYỆT" and discrepancy "2 SP".
- System inventory stock count remains unchanged (100 units).</t>
        </is>
      </c>
      <c r="F11" s="120" t="inlineStr">
        <is>
          <t>- Active WarehouseStaff account is logged in.
- Product records exist in the chosen warehouse.</t>
        </is>
      </c>
      <c r="G11" s="121" t="inlineStr">
        <is>
          <t>Passed</t>
        </is>
      </c>
      <c r="H11" s="122" t="n">
        <v>46228</v>
      </c>
      <c r="I11" s="123" t="inlineStr">
        <is>
          <t>ChiHTH</t>
        </is>
      </c>
      <c r="J11" s="123" t="n"/>
      <c r="K11" s="123" t="n"/>
      <c r="L11" s="123" t="n"/>
      <c r="M11" s="123" t="n"/>
      <c r="N11" s="123" t="n"/>
      <c r="O11" s="123" t="n"/>
      <c r="P11" s="81" t="n"/>
    </row>
    <row r="12">
      <c r="B12" s="124" t="inlineStr">
        <is>
          <t>SYS_STOC_02</t>
        </is>
      </c>
      <c r="C12" s="125" t="inlineStr">
        <is>
          <t>StoreManager approves and reconciles the Stock Check ticket</t>
        </is>
      </c>
      <c r="D12" s="125" t="inlineStr">
        <is>
          <t>1. Log in as StoreManager.
2. Navigate to "Kiểm kho" tab (/inventory?tab=check) or "Duyệt yêu cầu" tab (/inventory?tab=approval).
3. Locate the pending ticket and click "Chi tiết" / "Duyệt".
4. Review discrepancy details (-2 units).
5. Click "Duyệt" button (or "Phê duyệt phiếu" in modal) and confirm dialog.</t>
        </is>
      </c>
      <c r="E12" s="125" t="inlineStr">
        <is>
          <t>- System displays success message: "Đã phê duyệt phiếu kiểm kho và cân bằng tồn kho thành công!"
- Ticket status in DB updates to APPROVED (badge "ĐÃ DUYỆT").
- System stock level for the product is updated directly from 100 to 98 units.
- A transaction log of type CHECK_OUT (qty 2) is created in Inventory History (/inventory?tab=history).</t>
        </is>
      </c>
      <c r="F12" s="125" t="inlineStr">
        <is>
          <t>- Active StoreManager account is logged in.
- A stock check ticket with status PENDING exists in approval queue.</t>
        </is>
      </c>
      <c r="G12" s="121" t="inlineStr">
        <is>
          <t>Passed</t>
        </is>
      </c>
      <c r="H12" s="122" t="n">
        <v>46228</v>
      </c>
      <c r="I12" s="123" t="inlineStr">
        <is>
          <t>ChiHTH</t>
        </is>
      </c>
      <c r="J12" s="123" t="n"/>
      <c r="K12" s="123" t="n"/>
      <c r="L12" s="123" t="n"/>
      <c r="M12" s="123" t="n"/>
      <c r="N12" s="123" t="n"/>
      <c r="O12" s="123" t="n"/>
      <c r="P12" s="81" t="n"/>
    </row>
    <row r="13">
      <c r="B13" s="119" t="inlineStr">
        <is>
          <t>SYS_STOC_03</t>
        </is>
      </c>
      <c r="C13" s="120" t="inlineStr">
        <is>
          <t>WarehouseStaff creates a Stock Check sheet with zero discrepancy via Excel template</t>
        </is>
      </c>
      <c r="D13" s="120" t="inlineStr">
        <is>
          <t>1. Log in as WarehouseStaff and navigate to /inventory?tab=createCheck.
2. Click card "1. Lấy Tồn Kho Hiện Tại (Tải Excel)" to download stock template.
3. Enter actual count equal to system stock (100) in column "Tồn Thực Tế" (discrepancy 0). Save file.
4. Click card "2. Nhập Sau Khi Kiểm (Excel)" to upload file.
5. Click "Lưu Phiếu Nhập Kiểm Kho".</t>
        </is>
      </c>
      <c r="E13" s="120" t="inlineStr">
        <is>
          <t>- System displays success message: "Đã lập phiếu kiểm kho (Chờ quản lý phê duyệt)!"
- Ticket is created with total discrepancy 0.
- Ticket status is set to PENDING (Chờ duyệt) because any ticket created by Staff strictly requires Manager approval.</t>
        </is>
      </c>
      <c r="F13" s="120" t="inlineStr">
        <is>
          <t>- Active WarehouseStaff account is logged in.
- Product records exist in warehouse.</t>
        </is>
      </c>
      <c r="G13" s="121" t="inlineStr">
        <is>
          <t>Passed</t>
        </is>
      </c>
      <c r="H13" s="122" t="n">
        <v>46228</v>
      </c>
      <c r="I13" s="123" t="inlineStr">
        <is>
          <t>ChiHTH</t>
        </is>
      </c>
      <c r="J13" s="123" t="n"/>
      <c r="K13" s="123" t="n"/>
      <c r="L13" s="123" t="n"/>
      <c r="M13" s="123" t="n"/>
      <c r="N13" s="123" t="n"/>
      <c r="O13" s="123" t="n"/>
      <c r="P13" s="81" t="n"/>
    </row>
    <row r="14">
      <c r="B14" s="124" t="inlineStr">
        <is>
          <t>SYS_STOC_04</t>
        </is>
      </c>
      <c r="C14" s="125" t="inlineStr">
        <is>
          <t>WarehouseStaff cancels a pending Stock Check sheet created by themselves</t>
        </is>
      </c>
      <c r="D14" s="125" t="inlineStr">
        <is>
          <t>1. Log in as the WarehouseStaff who created the ticket.
2. Navigate to /inventory?tab=check.
3. Locate the pending ticket and click "Hủy" button.
4. Confirm action in browser dialog ("Xác nhận hủy phiếu kiểm kho...").</t>
        </is>
      </c>
      <c r="E14" s="125" t="inlineStr">
        <is>
          <t>- System displays success message: "Đã hủy phiếu kiểm kho thành công."
- Ticket status updates to CANCELLED (badge "ĐÃ HỦY").
- Physical stock is NOT modified.</t>
        </is>
      </c>
      <c r="F14" s="125" t="inlineStr">
        <is>
          <t>- Active WarehouseStaff account is logged in.
- A pending stock check ticket (PENDING) created by this WarehouseStaff exists.</t>
        </is>
      </c>
      <c r="G14" s="121" t="inlineStr">
        <is>
          <t>Passed</t>
        </is>
      </c>
      <c r="H14" s="122" t="n">
        <v>46228</v>
      </c>
      <c r="I14" s="123" t="inlineStr">
        <is>
          <t>ChiHTH</t>
        </is>
      </c>
      <c r="J14" s="123" t="n"/>
      <c r="K14" s="123" t="n"/>
      <c r="L14" s="123" t="n"/>
      <c r="M14" s="123" t="n"/>
      <c r="N14" s="123" t="n"/>
      <c r="O14" s="123" t="n"/>
      <c r="P14" s="81" t="n"/>
    </row>
    <row r="15">
      <c r="B15" s="119" t="inlineStr">
        <is>
          <t>SYS_STOC_05</t>
        </is>
      </c>
      <c r="C15" s="120" t="inlineStr">
        <is>
          <t>StoreManager / Owner creates a Stock Check sheet via Excel template (Auto-approval &amp; Immediate Balancing)</t>
        </is>
      </c>
      <c r="D15" s="120" t="inlineStr">
        <is>
          <t>1. Log in as StoreManager or Owner.
2. Open /inventory?tab=createCheck and click "1. Lấy Tồn Kho Hiện Tại (Tải Excel)".
3. Enter actual count 105 in column "Tồn Thực Tế" for product Vinamilk 1L (system stock 100, discrepancy +5). Save file.
4. Click "2. Nhập Sau Khi Kiểm (Excel)" and upload the file.
5. Click "Lưu Phiếu Nhập Kiểm Kho".</t>
        </is>
      </c>
      <c r="E15" s="120" t="inlineStr">
        <is>
          <t>- System displays success message: "Đã lập và duyệt phiếu kiểm kho, hoàn tất cân bằng tồn kho!"
- Ticket is created directly with status APPROVED.
- System stock level is immediately adjusted from 100 to 105 units.
- A transaction log of type CHECK_IN with quantity 5 is created in Inventory History.</t>
        </is>
      </c>
      <c r="F15" s="120" t="inlineStr">
        <is>
          <t>- Active StoreManager or Owner account is logged in.
- Product records exist in warehouse.</t>
        </is>
      </c>
      <c r="G15" s="126" t="inlineStr">
        <is>
          <t>Passed</t>
        </is>
      </c>
      <c r="H15" s="122" t="n">
        <v>46228</v>
      </c>
      <c r="I15" s="127" t="inlineStr">
        <is>
          <t>ChiHTH</t>
        </is>
      </c>
      <c r="J15" s="127" t="n"/>
      <c r="K15" s="127" t="n"/>
      <c r="L15" s="127" t="n"/>
      <c r="M15" s="127" t="n"/>
      <c r="N15" s="127" t="n"/>
      <c r="O15" s="127" t="n"/>
      <c r="P15" s="92" t="n"/>
    </row>
    <row r="16">
      <c r="B16" s="124" t="inlineStr">
        <is>
          <t>SYS_STOC_06</t>
        </is>
      </c>
      <c r="C16" s="125" t="inlineStr">
        <is>
          <t>StoreManager updates an active Stock Check sheet details (updateCheck)</t>
        </is>
      </c>
      <c r="D16" s="125" t="inlineStr">
        <is>
          <t>1. Log in as StoreManager.
2. Navigate to check sheet edit screen at /inventory?tab=editCheck&amp;action=editCheck&amp;checkId=123.
3. Modify actual count from 98 to 95 and update note to "Kiểm đếm lại phát hiện thêm 3 sản phẩm hỏng".
4. Click "Lưu Phiếu Cập Nhật".</t>
        </is>
      </c>
      <c r="E16" s="125" t="inlineStr">
        <is>
          <t>- System displays success message: "Đã cập nhật phiếu nhập kiểm kho và cân bằng tồn kho thành công."
- Ticket details and total discrepancy in DB are updated.
- System stock is adjusted directly to match the updated count (95 units).</t>
        </is>
      </c>
      <c r="F16" s="125" t="inlineStr">
        <is>
          <t>- Active StoreManager account is logged in.
- An editable stock check ticket exists.</t>
        </is>
      </c>
      <c r="G16" s="126" t="inlineStr">
        <is>
          <t>Passed</t>
        </is>
      </c>
      <c r="H16" s="122" t="n">
        <v>46228</v>
      </c>
      <c r="I16" s="127" t="inlineStr">
        <is>
          <t>ChiHTH</t>
        </is>
      </c>
      <c r="J16" s="127" t="n"/>
      <c r="K16" s="127" t="n"/>
      <c r="L16" s="127" t="n"/>
      <c r="M16" s="127" t="n"/>
      <c r="N16" s="127" t="n"/>
      <c r="O16" s="127" t="n"/>
      <c r="P16" s="92" t="n"/>
    </row>
    <row r="17">
      <c r="B17" s="119" t="inlineStr">
        <is>
          <t>SYS_STOC_07</t>
        </is>
      </c>
      <c r="C17" s="120" t="inlineStr">
        <is>
          <t>WarehouseStaff attempts to update an existing Stock Check sheet (Permission Denial)</t>
        </is>
      </c>
      <c r="D17" s="120" t="inlineStr">
        <is>
          <t>1. Log in as WarehouseStaff.
2. Attempt to send HTTP POST request to /inventory-check with action=updateCheck&amp;checkId=123.</t>
        </is>
      </c>
      <c r="E17" s="120" t="inlineStr">
        <is>
          <t>- Server blocks request and returns HTTP 403 Forbidden.
- WarehouseStaff cannot modify existing check sheet details.</t>
        </is>
      </c>
      <c r="F17" s="120" t="inlineStr">
        <is>
          <t>- Active WarehouseStaff account is logged in.
- A stock check ticket exists.</t>
        </is>
      </c>
      <c r="G17" s="126" t="inlineStr">
        <is>
          <t>Passed</t>
        </is>
      </c>
      <c r="H17" s="122" t="n">
        <v>46228</v>
      </c>
      <c r="I17" s="127" t="inlineStr">
        <is>
          <t>ChiHTH</t>
        </is>
      </c>
      <c r="J17" s="127" t="n"/>
      <c r="K17" s="127" t="n"/>
      <c r="L17" s="127" t="n"/>
      <c r="M17" s="127" t="n"/>
      <c r="N17" s="127" t="n"/>
      <c r="O17" s="127" t="n"/>
      <c r="P17" s="92" t="n"/>
    </row>
    <row r="18">
      <c r="B18" s="124" t="inlineStr">
        <is>
          <t>SYS_STOC_08</t>
        </is>
      </c>
      <c r="C18" s="125" t="inlineStr">
        <is>
          <t>StoreManager rejects a pending Stock Check sheet (rejectCheck)</t>
        </is>
      </c>
      <c r="D18" s="125" t="inlineStr">
        <is>
          <t>1. Log in as StoreManager.
2. Go to /inventory?tab=check or /inventory?tab=approval.
3. Locate pending ticket and click "Từ chối" (or reject in modal).</t>
        </is>
      </c>
      <c r="E18" s="125" t="inlineStr">
        <is>
          <t>- System displays success message: "Đã từ chối phiếu kiểm kho."
- Ticket status updates to REJECTED (badge "TỪ CHỐI").
- Physical inventory stock is NOT modified.</t>
        </is>
      </c>
      <c r="F18" s="125" t="inlineStr">
        <is>
          <t>- Active StoreManager account is logged in.
- A pending stock check ticket (PENDING) exists in approval queue.</t>
        </is>
      </c>
      <c r="G18" s="126" t="inlineStr">
        <is>
          <t>Passed</t>
        </is>
      </c>
      <c r="H18" s="122" t="n">
        <v>46228</v>
      </c>
      <c r="I18" s="127" t="inlineStr">
        <is>
          <t>ChiHTH</t>
        </is>
      </c>
      <c r="J18" s="127" t="n"/>
      <c r="K18" s="127" t="n"/>
      <c r="L18" s="127" t="n"/>
      <c r="M18" s="127" t="n"/>
      <c r="N18" s="127" t="n"/>
      <c r="O18" s="127" t="n"/>
      <c r="P18" s="92" t="n"/>
    </row>
    <row r="19">
      <c r="B19" s="119" t="inlineStr">
        <is>
          <t>SYS_STOC_09</t>
        </is>
      </c>
      <c r="C19" s="120" t="inlineStr">
        <is>
          <t>WarehouseStaff attempts to cancel a Stock Check sheet created by another employee</t>
        </is>
      </c>
      <c r="D19" s="120" t="inlineStr">
        <is>
          <t>1. Log in as WarehouseStaff A.
2. Send HTTP POST request to /inventory-check with action=cancelCheck targeting ticket created by WarehouseStaff B.</t>
        </is>
      </c>
      <c r="E19" s="120" t="inlineStr">
        <is>
          <t>- Server blocks request and returns HTTP 403 Forbidden with error message "Bạn không có quyền hủy phiếu kiểm kho này."
- Ticket status remains unchanged (PENDING).</t>
        </is>
      </c>
      <c r="F19" s="120" t="inlineStr">
        <is>
          <t>- WarehouseStaff A is logged in.
- A pending stock check ticket created by WarehouseStaff B exists.</t>
        </is>
      </c>
      <c r="G19" s="126" t="inlineStr">
        <is>
          <t>Passed</t>
        </is>
      </c>
      <c r="H19" s="122" t="n">
        <v>46228</v>
      </c>
      <c r="I19" s="127" t="inlineStr">
        <is>
          <t>ChiHTH</t>
        </is>
      </c>
      <c r="J19" s="127" t="n"/>
      <c r="K19" s="127" t="n"/>
      <c r="L19" s="127" t="n"/>
      <c r="M19" s="127" t="n"/>
      <c r="N19" s="127" t="n"/>
      <c r="O19" s="127" t="n"/>
      <c r="P19" s="92" t="n"/>
    </row>
    <row r="20">
      <c r="B20" s="124" t="inlineStr">
        <is>
          <t>SYS_STOC_10</t>
        </is>
      </c>
      <c r="C20" s="125" t="inlineStr">
        <is>
          <t>WarehouseStaff attempts to upload an Excel file with negative actual quantity (Validation Error)</t>
        </is>
      </c>
      <c r="D20" s="125" t="inlineStr">
        <is>
          <t>1. Log in as WarehouseStaff and open /inventory?tab=createCheck.
2. Open template Excel and enter negative actual quantity "-10" in column "Tồn Thực Tế". Save file.
3. Click card "2. Nhập Sau Khi Kiểm (Excel)" and select the file.
4. If passed to backend, click "Lưu Phiếu Nhập Kiểm Kho".</t>
        </is>
      </c>
      <c r="E20" s="125" t="inlineStr">
        <is>
          <t>- Form submission is blocked by backend validation.
- System displays validation error message: "Dòng 1: Số lượng thực tế phải là số nguyên không âm (&gt;= 0)."</t>
        </is>
      </c>
      <c r="F20" s="125" t="inlineStr">
        <is>
          <t>- Active WarehouseStaff account is logged in.
- Downloaded stock template Excel Mau_Kiem_Kho.xlsx.</t>
        </is>
      </c>
      <c r="G20" s="126" t="inlineStr">
        <is>
          <t>Passed</t>
        </is>
      </c>
      <c r="H20" s="122" t="n">
        <v>46228</v>
      </c>
      <c r="I20" s="127" t="inlineStr">
        <is>
          <t>ChiHTH</t>
        </is>
      </c>
      <c r="J20" s="127" t="n"/>
      <c r="K20" s="127" t="n"/>
      <c r="L20" s="127" t="n"/>
      <c r="M20" s="127" t="n"/>
      <c r="N20" s="127" t="n"/>
      <c r="O20" s="127" t="n"/>
      <c r="P20" s="92" t="n"/>
    </row>
    <row r="21">
      <c r="B21" s="119" t="inlineStr">
        <is>
          <t>SYS_STOC_11</t>
        </is>
      </c>
      <c r="C21" s="120" t="inlineStr">
        <is>
          <t>WarehouseStaff searches products for Stock Check via API (searchStockCheckProductsApi)</t>
        </is>
      </c>
      <c r="D21" s="120" t="inlineStr">
        <is>
          <t>1. Send GET request to /inventory-check?action=searchStockCheckProductsApi&amp;keyword=Vinamilk.</t>
        </is>
      </c>
      <c r="E21" s="120" t="inlineStr">
        <is>
          <t>- System returns HTTP 200 OK with JSON array of matching products containing productId, productName, systemStock, productCodebar, and categoryName.</t>
        </is>
      </c>
      <c r="F21" s="120" t="inlineStr">
        <is>
          <t>- WarehouseStaff is logged in.
- Active warehouse is selected (warehouseId).
- Product records exist in warehouse.</t>
        </is>
      </c>
      <c r="G21" s="126" t="inlineStr">
        <is>
          <t>Passed</t>
        </is>
      </c>
      <c r="H21" s="122" t="n">
        <v>46228</v>
      </c>
      <c r="I21" s="127" t="inlineStr">
        <is>
          <t>ChiHTH</t>
        </is>
      </c>
      <c r="J21" s="127" t="n"/>
      <c r="K21" s="127" t="n"/>
      <c r="L21" s="127" t="n"/>
      <c r="M21" s="127" t="n"/>
      <c r="N21" s="127" t="n"/>
      <c r="O21" s="127" t="n"/>
      <c r="P21" s="92" t="n"/>
    </row>
    <row r="22">
      <c r="B22" s="124" t="inlineStr">
        <is>
          <t>SYS_STOC_12</t>
        </is>
      </c>
      <c r="C22" s="125" t="inlineStr">
        <is>
          <t>WarehouseStaff / Manager filters Stock Check history list by Code, Status, and Discrepancy</t>
        </is>
      </c>
      <c r="D22" s="125" t="inlineStr">
        <is>
          <t>1. Log in and open /inventory?tab=check.
2. Enter checkCodeQuery = "IC-172", select statusQuery = "PENDING", select discrepancyQuery = "has_disc".
3. Click "Lọc" button.</t>
        </is>
      </c>
      <c r="E22" s="125" t="inlineStr">
        <is>
          <t>- System filters and displays only stock check tickets matching the specified code pattern, pending status, and having non-zero discrepancy (totalDiscrepancy &gt; 0).</t>
        </is>
      </c>
      <c r="F22" s="125" t="inlineStr">
        <is>
          <t>- Multiple stock check tickets with various statuses exist.</t>
        </is>
      </c>
      <c r="G22" s="126" t="inlineStr">
        <is>
          <t>Passed</t>
        </is>
      </c>
      <c r="H22" s="128" t="n">
        <v>46228</v>
      </c>
      <c r="I22" s="127" t="inlineStr">
        <is>
          <t>ChiHTH</t>
        </is>
      </c>
      <c r="J22" s="127" t="n"/>
      <c r="K22" s="127" t="n"/>
      <c r="L22" s="127" t="n"/>
      <c r="M22" s="127" t="n"/>
      <c r="N22" s="127" t="n"/>
      <c r="O22" s="127" t="n"/>
      <c r="P22" s="92" t="n"/>
    </row>
    <row r="23">
      <c r="D23" s="97" t="n"/>
    </row>
    <row r="24">
      <c r="D24" s="97" t="n"/>
    </row>
  </sheetData>
  <mergeCells count="3">
    <mergeCell ref="C2:F2"/>
    <mergeCell ref="C1:F1"/>
    <mergeCell ref="C3:F3"/>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B1:P19"/>
  <sheetViews>
    <sheetView workbookViewId="0">
      <selection activeCell="A1" sqref="A1"/>
    </sheetView>
  </sheetViews>
  <sheetFormatPr baseColWidth="8" defaultColWidth="12.63" defaultRowHeight="15.75" customHeight="1"/>
  <cols>
    <col width="17.25" customWidth="1" style="103" min="2" max="2"/>
    <col width="19.13" customWidth="1" style="103" min="3" max="3"/>
    <col width="38.25" customWidth="1" style="103" min="4" max="4"/>
    <col width="39.13" customWidth="1" style="103" min="5" max="5"/>
    <col width="24.75" customWidth="1" style="103" min="6" max="6"/>
  </cols>
  <sheetData>
    <row r="1">
      <c r="B1" s="1" t="inlineStr">
        <is>
          <t>Workflow</t>
        </is>
      </c>
      <c r="C1" s="87" t="inlineStr">
        <is>
          <t>Point of Sale (POS) Order &amp; Payment</t>
        </is>
      </c>
      <c r="D1" s="88" t="n"/>
      <c r="E1" s="88" t="n"/>
      <c r="F1" s="89" t="n"/>
      <c r="G1" s="4" t="n"/>
      <c r="H1" s="4" t="n"/>
      <c r="I1" s="4" t="n"/>
      <c r="J1" s="4" t="n"/>
      <c r="K1" s="4" t="n"/>
      <c r="L1" s="4" t="n"/>
      <c r="M1" s="4" t="n"/>
      <c r="N1" s="4" t="n"/>
      <c r="O1" s="4" t="n"/>
      <c r="P1" s="4" t="n"/>
    </row>
    <row r="2">
      <c r="B2" s="1" t="inlineStr">
        <is>
          <t>Test requirement</t>
        </is>
      </c>
      <c r="C2" s="60" t="inlineStr">
        <is>
          <t>Verify the complete sales process at the counter: Create a new order, select products, apply customer information (search for or create new customers for points/discounts), successfully process payment, deduct corresponding inventory, print the invoice, and update the financial ledger.</t>
        </is>
      </c>
      <c r="D2" s="105" t="n"/>
      <c r="E2" s="105" t="n"/>
      <c r="F2" s="106" t="n"/>
      <c r="G2" s="4" t="n"/>
      <c r="H2" s="4" t="n"/>
      <c r="I2" s="4" t="n"/>
      <c r="J2" s="4" t="n"/>
      <c r="K2" s="4" t="n"/>
      <c r="L2" s="4" t="n"/>
      <c r="M2" s="4" t="n"/>
      <c r="N2" s="4" t="n"/>
      <c r="O2" s="4" t="n"/>
      <c r="P2" s="4" t="n"/>
    </row>
    <row r="3">
      <c r="B3" s="19" t="inlineStr">
        <is>
          <t>Number of TCs</t>
        </is>
      </c>
      <c r="C3" s="117" t="n">
        <v>7</v>
      </c>
      <c r="D3" s="105" t="n"/>
      <c r="E3" s="105" t="n"/>
      <c r="F3" s="106" t="n"/>
      <c r="G3" s="4" t="n"/>
      <c r="H3" s="4" t="n"/>
      <c r="I3" s="4" t="n"/>
      <c r="J3" s="4" t="n"/>
      <c r="K3" s="4" t="n"/>
      <c r="L3" s="4" t="n"/>
      <c r="M3" s="4" t="n"/>
      <c r="N3" s="4" t="n"/>
      <c r="O3" s="4" t="n"/>
      <c r="P3" s="4" t="n"/>
    </row>
    <row r="4">
      <c r="B4" s="27" t="inlineStr">
        <is>
          <t>Testing Round</t>
        </is>
      </c>
      <c r="C4" s="30" t="inlineStr">
        <is>
          <t>Passed</t>
        </is>
      </c>
      <c r="D4" s="30" t="inlineStr">
        <is>
          <t>Failed</t>
        </is>
      </c>
      <c r="E4" s="30" t="inlineStr">
        <is>
          <t>Pending</t>
        </is>
      </c>
      <c r="F4" s="33" t="inlineStr">
        <is>
          <t>N/A</t>
        </is>
      </c>
      <c r="G4" s="4" t="n"/>
      <c r="H4" s="4" t="n"/>
      <c r="I4" s="4" t="n"/>
      <c r="J4" s="4" t="n"/>
      <c r="K4" s="4" t="n"/>
      <c r="L4" s="4" t="n"/>
      <c r="M4" s="4" t="n"/>
      <c r="N4" s="4" t="n"/>
      <c r="O4" s="4" t="n"/>
      <c r="P4" s="4" t="n"/>
    </row>
    <row r="5">
      <c r="B5" s="27" t="inlineStr">
        <is>
          <t>Round 1</t>
        </is>
      </c>
      <c r="C5" s="39" t="n">
        <v>0</v>
      </c>
      <c r="D5" s="39" t="n">
        <v>0</v>
      </c>
      <c r="E5" s="39" t="n"/>
      <c r="F5" s="44" t="n">
        <v>0</v>
      </c>
      <c r="G5" s="4" t="n"/>
      <c r="H5" s="4" t="n"/>
      <c r="I5" s="4" t="n"/>
      <c r="J5" s="4" t="n"/>
      <c r="K5" s="4" t="n"/>
      <c r="L5" s="4" t="n"/>
      <c r="M5" s="4" t="n"/>
      <c r="N5" s="4" t="n"/>
      <c r="O5" s="4" t="n"/>
      <c r="P5" s="4" t="n"/>
    </row>
    <row r="6">
      <c r="B6" s="27" t="inlineStr">
        <is>
          <t>Round 2</t>
        </is>
      </c>
      <c r="C6" s="39" t="n">
        <v>0</v>
      </c>
      <c r="D6" s="39" t="n">
        <v>0</v>
      </c>
      <c r="E6" s="39" t="n"/>
      <c r="F6" s="44" t="n">
        <v>0</v>
      </c>
      <c r="G6" s="4" t="n"/>
      <c r="H6" s="4" t="n"/>
      <c r="I6" s="4" t="n"/>
      <c r="J6" s="4" t="n"/>
      <c r="K6" s="4" t="n"/>
      <c r="L6" s="4" t="n"/>
      <c r="M6" s="4" t="n"/>
      <c r="N6" s="4" t="n"/>
      <c r="O6" s="4" t="n"/>
      <c r="P6" s="4" t="n"/>
    </row>
    <row r="7">
      <c r="B7" s="27" t="inlineStr">
        <is>
          <t>Round 3</t>
        </is>
      </c>
      <c r="C7" s="44" t="n">
        <v>0</v>
      </c>
      <c r="D7" s="44" t="n">
        <v>0</v>
      </c>
      <c r="E7" s="44" t="n"/>
      <c r="F7" s="44" t="n">
        <v>0</v>
      </c>
      <c r="G7" s="4" t="n"/>
      <c r="H7" s="4" t="n"/>
      <c r="I7" s="4" t="n"/>
      <c r="J7" s="4" t="n"/>
      <c r="K7" s="4" t="n"/>
      <c r="L7" s="4" t="n"/>
      <c r="M7" s="4" t="n"/>
      <c r="N7" s="4" t="n"/>
      <c r="O7" s="4" t="n"/>
      <c r="P7" s="4" t="n"/>
    </row>
    <row r="8">
      <c r="B8" s="4" t="n"/>
      <c r="C8" s="4" t="n"/>
      <c r="D8" s="4" t="n"/>
      <c r="E8" s="4" t="n"/>
      <c r="F8" s="4" t="n"/>
      <c r="G8" s="4" t="n"/>
      <c r="H8" s="4" t="n"/>
      <c r="I8" s="4" t="n"/>
      <c r="J8" s="4" t="n"/>
      <c r="K8" s="4" t="n"/>
      <c r="L8" s="4" t="n"/>
      <c r="M8" s="4" t="n"/>
      <c r="N8" s="4" t="n"/>
      <c r="O8" s="4" t="n"/>
      <c r="P8" s="4" t="n"/>
    </row>
    <row r="9">
      <c r="B9" s="49" t="inlineStr">
        <is>
          <t>Test Case ID</t>
        </is>
      </c>
      <c r="C9" s="49" t="inlineStr">
        <is>
          <t>Test Case Description</t>
        </is>
      </c>
      <c r="D9" s="49" t="inlineStr">
        <is>
          <t>Test Case Procedure</t>
        </is>
      </c>
      <c r="E9" s="49" t="inlineStr">
        <is>
          <t>Expected Results</t>
        </is>
      </c>
      <c r="F9" s="49" t="inlineStr">
        <is>
          <t>Pre-conditions</t>
        </is>
      </c>
      <c r="G9" s="49" t="inlineStr">
        <is>
          <t>Round 1</t>
        </is>
      </c>
      <c r="H9" s="49" t="inlineStr">
        <is>
          <t>Test date</t>
        </is>
      </c>
      <c r="I9" s="49" t="inlineStr">
        <is>
          <t>Tester</t>
        </is>
      </c>
      <c r="J9" s="49" t="inlineStr">
        <is>
          <t>Round 2</t>
        </is>
      </c>
      <c r="K9" s="49" t="inlineStr">
        <is>
          <t>Test date</t>
        </is>
      </c>
      <c r="L9" s="49" t="inlineStr">
        <is>
          <t>Tester</t>
        </is>
      </c>
      <c r="M9" s="49" t="inlineStr">
        <is>
          <t>Round 3</t>
        </is>
      </c>
      <c r="N9" s="49" t="inlineStr">
        <is>
          <t>Test date</t>
        </is>
      </c>
      <c r="O9" s="49" t="inlineStr">
        <is>
          <t>Tester</t>
        </is>
      </c>
      <c r="P9" s="49" t="inlineStr">
        <is>
          <t>Note</t>
        </is>
      </c>
    </row>
    <row r="10">
      <c r="B10" s="118" t="inlineStr">
        <is>
          <t>Testing the accuracy of the shopping cart and the member points calculator.</t>
        </is>
      </c>
      <c r="C10" s="105" t="n"/>
      <c r="D10" s="105" t="n"/>
      <c r="E10" s="105" t="n"/>
      <c r="F10" s="105" t="n"/>
      <c r="G10" s="105" t="n"/>
      <c r="H10" s="105" t="n"/>
      <c r="I10" s="105" t="n"/>
      <c r="J10" s="105" t="n"/>
      <c r="K10" s="105" t="n"/>
      <c r="L10" s="105" t="n"/>
      <c r="M10" s="105" t="n"/>
      <c r="N10" s="105" t="n"/>
      <c r="O10" s="105" t="n"/>
      <c r="P10" s="106" t="n"/>
    </row>
    <row r="11">
      <c r="B11" s="80" t="inlineStr">
        <is>
          <t>SYS_POS_01</t>
        </is>
      </c>
      <c r="C11" s="82" t="inlineStr">
        <is>
          <t>SalesStaff processes a successful cash sale</t>
        </is>
      </c>
      <c r="D11" s="82" t="inlineStr">
        <is>
          <t>1. Log in as SalesStaff and open the POS screen at /sales.
2. Scan or search for the product "Sữa tươi Vinamilk 1L".
3. Click the product to add it to the cart and change quantity to 2.
4. Click the customer selection button (e.g. "Thay đổi khách hàng"), search for "0987654321", and select "Trần Thị B".
5. Click the "THANH TOÁN" button to open the payment modal.
6. Select the payment method "Tiền mặt".
7. Enter the customer cash amount: 50,000đ. The system calculates change as 10,000đ.
8. Click the "Xác nhận thanh toán &amp; In hóa đơn" button.</t>
        </is>
      </c>
      <c r="E11" s="82" t="inlineStr">
        <is>
          <t>- The system saves the transaction and displays toast message: "Thanh toán thành công đơn hàng."
- A print preview window "In thử" (/print/preview) opens showing the invoice details.
- Customer "Trần Thị B" is awarded loyalty points based on the order value.
- Stock level of "Sữa tươi Vinamilk 1L" decreases by 2 units.</t>
        </is>
      </c>
      <c r="F11" s="82" t="inlineStr">
        <is>
          <t>- An active shift is currently open.
- SalesStaff is logged in.
- Customer and product data exist in the database.</t>
        </is>
      </c>
      <c r="G11" s="79" t="n"/>
      <c r="H11" s="98" t="n">
        <v>46224</v>
      </c>
      <c r="I11" s="84" t="n"/>
      <c r="J11" s="79" t="n"/>
      <c r="K11" s="84" t="n"/>
      <c r="L11" s="84" t="n"/>
      <c r="M11" s="79" t="n"/>
      <c r="N11" s="84" t="n"/>
      <c r="O11" s="84" t="n"/>
      <c r="P11" s="84" t="n"/>
    </row>
    <row r="12">
      <c r="B12" s="80" t="inlineStr">
        <is>
          <t>SYS_POS_02</t>
        </is>
      </c>
      <c r="C12" s="82" t="inlineStr">
        <is>
          <t>SalesStaff processes a POS sale via VNPAY QR</t>
        </is>
      </c>
      <c r="D12" s="82" t="inlineStr">
        <is>
          <t>1. Add "Sữa tươi Vinamilk 1L" to the cart on the /sales screen.
2. Select customer "Trần Thị B".
3. Click the "THANH TOÁN" button.
4. Select payment method "Chuyển khoản (VNPAY)".
5. A dynamic QR code is displayed on the screen.
6. (Simulation) Scan and pay successfully using bank application.
7. The system receives callback notifications via /vnpay/return.</t>
        </is>
      </c>
      <c r="E12" s="82" t="inlineStr">
        <is>
          <t>- The payment modal closes automatically.
- The system displays success message: "Giao dịch VNPAY thành công."
- The order status changes to "Đã thanh toán" with payment type recorded as "BANK_TRANSFER".</t>
        </is>
      </c>
      <c r="F12" s="82" t="inlineStr">
        <is>
          <t>- The VNPAY payment integration is set up in Sandbox mode.</t>
        </is>
      </c>
      <c r="G12" s="79" t="n"/>
      <c r="H12" s="98" t="n">
        <v>46224</v>
      </c>
      <c r="I12" s="84" t="n"/>
      <c r="J12" s="79" t="n"/>
      <c r="K12" s="84" t="n"/>
      <c r="L12" s="84" t="n"/>
      <c r="M12" s="79" t="n"/>
      <c r="N12" s="84" t="n"/>
      <c r="O12" s="84" t="n"/>
      <c r="P12" s="84" t="n"/>
    </row>
    <row r="13">
      <c r="B13" s="118" t="inlineStr">
        <is>
          <t>Test the mechanism for calculating change ("Cash") and integrate the QR online payment gateway ("Bank Transfer (VNPAY)" via the /vnpay/return callback and IPN.</t>
        </is>
      </c>
      <c r="C13" s="105" t="n"/>
      <c r="D13" s="105" t="n"/>
      <c r="E13" s="105" t="n"/>
      <c r="F13" s="105" t="n"/>
      <c r="G13" s="105" t="n"/>
      <c r="H13" s="105" t="n"/>
      <c r="I13" s="105" t="n"/>
      <c r="J13" s="105" t="n"/>
      <c r="K13" s="105" t="n"/>
      <c r="L13" s="105" t="n"/>
      <c r="M13" s="105" t="n"/>
      <c r="N13" s="105" t="n"/>
      <c r="O13" s="105" t="n"/>
      <c r="P13" s="106" t="n"/>
    </row>
    <row r="14">
      <c r="B14" s="80" t="inlineStr">
        <is>
          <t>SYS_POS_03</t>
        </is>
      </c>
      <c r="C14" s="82" t="inlineStr">
        <is>
          <t>SalesStaff holds an order and resumes it later</t>
        </is>
      </c>
      <c r="D14" s="82" t="inlineStr">
        <is>
          <t>1. Add several items to the cart on the /sales screen.
2. Click the "LƯU TẠM" button.
3. Enter the label for the held cart: "Khách mua thêm đồ" and click "Lưu đơn tạm".
4. The active cart workspace is cleared.
5. Click the "Đơn tạm" button on the POS header.
6. Select the held cart labeled "Khách mua thêm đồ" and click "Mở lại" (Resume).</t>
        </is>
      </c>
      <c r="E14" s="82" t="inlineStr">
        <is>
          <t>- The current cart items are saved to temporary memory when clicking "LƯU TẠM".
- Clicking "Mở lại" loads all saved items back into the active cart for checkout.</t>
        </is>
      </c>
      <c r="F14" s="82" t="inlineStr">
        <is>
          <t>- An active shift is open.</t>
        </is>
      </c>
      <c r="G14" s="79" t="n"/>
      <c r="H14" s="98" t="n">
        <v>46224</v>
      </c>
      <c r="I14" s="84" t="n"/>
      <c r="J14" s="79" t="n"/>
      <c r="K14" s="84" t="n"/>
      <c r="L14" s="84" t="n"/>
      <c r="M14" s="79" t="n"/>
      <c r="N14" s="84" t="n"/>
      <c r="O14" s="84" t="n"/>
      <c r="P14" s="84" t="n"/>
    </row>
    <row r="15">
      <c r="B15" s="80" t="inlineStr">
        <is>
          <t>SYS_POS_04</t>
        </is>
      </c>
      <c r="C15" s="82" t="inlineStr">
        <is>
          <t>SalesStaff processes a sale applying a discount voucher</t>
        </is>
      </c>
      <c r="D15" s="82" t="inlineStr">
        <is>
          <t>1. Add items to the cart on /sales.
2. Click "Chọn Voucher" (Select Voucher).
3. Search and select voucher: "KM10" (10% discount).
4. Click "Áp dụng".</t>
        </is>
      </c>
      <c r="E15" s="82" t="inlineStr">
        <is>
          <t>- The system applies a 10% discount to the cart total.
- The cart summary updates the total price, displaying the discount amount clearly.</t>
        </is>
      </c>
      <c r="F15" s="82" t="inlineStr">
        <is>
          <t>- Voucher "KM10" is active and valid.</t>
        </is>
      </c>
      <c r="G15" s="79" t="n"/>
      <c r="H15" s="98" t="n">
        <v>46224</v>
      </c>
      <c r="I15" s="84" t="n"/>
      <c r="J15" s="79" t="n"/>
      <c r="K15" s="84" t="n"/>
      <c r="L15" s="84" t="n"/>
      <c r="M15" s="79" t="n"/>
      <c r="N15" s="84" t="n"/>
      <c r="O15" s="84" t="n"/>
      <c r="P15" s="84" t="n"/>
    </row>
    <row r="16">
      <c r="B16" s="80" t="inlineStr">
        <is>
          <t>SYS_POS_05</t>
        </is>
      </c>
      <c r="C16" s="82" t="inlineStr">
        <is>
          <t>SalesStaff cancels an active order/cart</t>
        </is>
      </c>
      <c r="D16" s="82" t="inlineStr">
        <is>
          <t>1. Add items to the cart on /sales.
2. Click the "HUỶ ĐƠN" (Cancel Order) button.
3. Click "Đồng ý hủy" on the popup dialog.</t>
        </is>
      </c>
      <c r="E16" s="82" t="inlineStr">
        <is>
          <t>- The active cart is cleared completely.
- No transaction is recorded in the database.</t>
        </is>
      </c>
      <c r="F16" s="82" t="inlineStr">
        <is>
          <t>- Shift is open.</t>
        </is>
      </c>
      <c r="G16" s="101" t="n"/>
      <c r="H16" s="98" t="n">
        <v>46224</v>
      </c>
      <c r="I16" s="101" t="n"/>
      <c r="J16" s="101" t="n"/>
      <c r="K16" s="101" t="n"/>
      <c r="L16" s="101" t="n"/>
      <c r="M16" s="101" t="n"/>
      <c r="N16" s="101" t="n"/>
      <c r="O16" s="101" t="n"/>
      <c r="P16" s="101" t="n"/>
    </row>
    <row r="17">
      <c r="B17" s="118" t="inlineStr">
        <is>
          <t>Test the sales shift process including shift start ("Cash at the beginning of the shift"), cash deposit/withdrawal, and shift end ("Actual cash counted").</t>
        </is>
      </c>
      <c r="C17" s="105" t="n"/>
      <c r="D17" s="105" t="n"/>
      <c r="E17" s="105" t="n"/>
      <c r="F17" s="105" t="n"/>
      <c r="G17" s="105" t="n"/>
      <c r="H17" s="105" t="n"/>
      <c r="I17" s="105" t="n"/>
      <c r="J17" s="105" t="n"/>
      <c r="K17" s="105" t="n"/>
      <c r="L17" s="105" t="n"/>
      <c r="M17" s="105" t="n"/>
      <c r="N17" s="105" t="n"/>
      <c r="O17" s="105" t="n"/>
      <c r="P17" s="106" t="n"/>
    </row>
    <row r="18">
      <c r="B18" s="80" t="inlineStr">
        <is>
          <t>SYS_POS_06</t>
        </is>
      </c>
      <c r="C18" s="82" t="inlineStr">
        <is>
          <t>SalesStaff opens a new shift with starting cash input</t>
        </is>
      </c>
      <c r="D18" s="82" t="inlineStr">
        <is>
          <t>1. Log in to the system as SalesStaff.
2. Access the POS screen, which redirects to /shift (no open shift).
3. Enter starting cash drawer amount: "1,000,000" in the field: "Tiền đầu ca".
4. Input note: "Nhận bàn giao ca sáng".
5. Click the "Mở ca làm việc" button.</t>
        </is>
      </c>
      <c r="E18" s="82" t="inlineStr">
        <is>
          <t>- The shift is successfully created.
- The system redirects to the POS workspace /sales.
- A shift opening entry is recorded.</t>
        </is>
      </c>
      <c r="F18" s="82" t="inlineStr">
        <is>
          <t>- SalesStaff has no active shift open.</t>
        </is>
      </c>
      <c r="G18" s="101" t="n"/>
      <c r="H18" s="98" t="n">
        <v>46224</v>
      </c>
      <c r="I18" s="101" t="n"/>
      <c r="J18" s="101" t="n"/>
      <c r="K18" s="101" t="n"/>
      <c r="L18" s="101" t="n"/>
      <c r="M18" s="101" t="n"/>
      <c r="N18" s="101" t="n"/>
      <c r="O18" s="101" t="n"/>
      <c r="P18" s="101" t="n"/>
    </row>
    <row r="19">
      <c r="B19" s="80" t="inlineStr">
        <is>
          <t>SYS_POS_07</t>
        </is>
      </c>
      <c r="C19" s="82" t="inlineStr">
        <is>
          <t>SalesStaff closes active shift and enters cash count</t>
        </is>
      </c>
      <c r="D19" s="82" t="inlineStr">
        <is>
          <t>1. Navigate to /shift as SalesStaff.
2. Click the "Kết ca bán hàng" (Close Shift) button.
3. Count physical cash in drawer and enter value: "3,500,000" in the field: "Tiền thực tế kiểm đếm".
4. Click "Xác nhận đóng ca".</t>
        </is>
      </c>
      <c r="E19" s="82" t="inlineStr">
        <is>
          <t>- The system calculates discrepancy between calculated cash flow and actual cash count.
- The shift is closed, and the system redirects to the shift summary print preview screen.</t>
        </is>
      </c>
      <c r="F19" s="82" t="inlineStr">
        <is>
          <t>- Shift is active.</t>
        </is>
      </c>
      <c r="G19" s="101" t="n"/>
      <c r="H19" s="98" t="n">
        <v>46224</v>
      </c>
      <c r="I19" s="101" t="n"/>
      <c r="J19" s="101" t="n"/>
      <c r="K19" s="101" t="n"/>
      <c r="L19" s="101" t="n"/>
      <c r="M19" s="101" t="n"/>
      <c r="N19" s="101" t="n"/>
      <c r="O19" s="101" t="n"/>
      <c r="P19" s="101" t="n"/>
    </row>
  </sheetData>
  <mergeCells count="5">
    <mergeCell ref="C3:F3"/>
    <mergeCell ref="B10:P10"/>
    <mergeCell ref="C2:F2"/>
    <mergeCell ref="B13:P13"/>
    <mergeCell ref="B17:P17"/>
  </mergeCell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9"/>
  <sheetViews>
    <sheetView workbookViewId="0">
      <selection activeCell="A1" sqref="A1"/>
    </sheetView>
  </sheetViews>
  <sheetFormatPr baseColWidth="8" defaultColWidth="12.63" defaultRowHeight="15.75" customHeight="1"/>
  <cols>
    <col width="17.63" customWidth="1" style="103" min="2" max="2"/>
    <col width="20.25" customWidth="1" style="103" min="3" max="3"/>
    <col width="34.38" customWidth="1" style="103" min="4" max="4"/>
    <col width="38.13" customWidth="1" style="103" min="5" max="5"/>
    <col width="30" customWidth="1" style="103" min="6" max="6"/>
    <col width="9.880000000000001" customWidth="1" style="103" min="7" max="7"/>
    <col width="10.13" customWidth="1" style="103" min="8" max="8"/>
    <col width="9.630000000000001" customWidth="1" style="103" min="9" max="9"/>
    <col width="10.25" customWidth="1" style="103" min="10" max="10"/>
    <col width="9.75" customWidth="1" style="103" min="11" max="11"/>
    <col width="9.5" customWidth="1" style="103" min="12" max="12"/>
    <col width="9" customWidth="1" style="103" min="13" max="13"/>
    <col width="9.880000000000001" customWidth="1" style="103" min="14" max="14"/>
  </cols>
  <sheetData>
    <row r="1">
      <c r="B1" s="1" t="inlineStr">
        <is>
          <t>Workflow</t>
        </is>
      </c>
      <c r="C1" s="28" t="inlineStr">
        <is>
          <t>User Account &amp; Role Configuration</t>
        </is>
      </c>
      <c r="D1" s="105" t="n"/>
      <c r="E1" s="105" t="n"/>
      <c r="F1" s="106" t="n"/>
      <c r="G1" s="4" t="n"/>
      <c r="H1" s="4" t="n"/>
      <c r="I1" s="4" t="n"/>
      <c r="J1" s="4" t="n"/>
      <c r="K1" s="4" t="n"/>
      <c r="L1" s="4" t="n"/>
      <c r="M1" s="4" t="n"/>
      <c r="N1" s="4" t="n"/>
      <c r="O1" s="4" t="n"/>
      <c r="P1" s="4" t="n"/>
    </row>
    <row r="2">
      <c r="B2" s="1" t="inlineStr">
        <is>
          <t>Test requirement</t>
        </is>
      </c>
      <c r="C2" s="129" t="inlineStr">
        <is>
          <t>Verify the Owner's process for creating new employee accounts: assign roles (Employee/Manager), verify the employee's first login, and check access permissions for corresponding functions (only allowed to access sales/inventory functions and blocked from the Admin/Owner page).</t>
        </is>
      </c>
      <c r="D2" s="105" t="n"/>
      <c r="E2" s="105" t="n"/>
      <c r="F2" s="106" t="n"/>
      <c r="G2" s="4" t="n"/>
      <c r="H2" s="4" t="n"/>
      <c r="I2" s="4" t="n"/>
      <c r="J2" s="4" t="n"/>
      <c r="K2" s="4" t="n"/>
      <c r="L2" s="4" t="n"/>
      <c r="M2" s="4" t="n"/>
      <c r="N2" s="4" t="n"/>
      <c r="O2" s="4" t="n"/>
      <c r="P2" s="4" t="n"/>
    </row>
    <row r="3">
      <c r="B3" s="19" t="inlineStr">
        <is>
          <t>Number of TCs</t>
        </is>
      </c>
      <c r="C3" s="117" t="n">
        <v>7</v>
      </c>
      <c r="D3" s="105" t="n"/>
      <c r="E3" s="105" t="n"/>
      <c r="F3" s="106" t="n"/>
      <c r="G3" s="4" t="n"/>
      <c r="H3" s="4" t="n"/>
      <c r="I3" s="4" t="n"/>
      <c r="J3" s="4" t="n"/>
      <c r="K3" s="4" t="n"/>
      <c r="L3" s="4" t="n"/>
      <c r="M3" s="4" t="n"/>
      <c r="N3" s="4" t="n"/>
      <c r="O3" s="4" t="n"/>
      <c r="P3" s="4" t="n"/>
    </row>
    <row r="4">
      <c r="B4" s="27" t="inlineStr">
        <is>
          <t>Testing Round</t>
        </is>
      </c>
      <c r="C4" s="30" t="inlineStr">
        <is>
          <t>Passed</t>
        </is>
      </c>
      <c r="D4" s="30" t="inlineStr">
        <is>
          <t>Failed</t>
        </is>
      </c>
      <c r="E4" s="30" t="inlineStr">
        <is>
          <t>Pending</t>
        </is>
      </c>
      <c r="F4" s="33" t="inlineStr">
        <is>
          <t>N/A</t>
        </is>
      </c>
      <c r="G4" s="4" t="n"/>
      <c r="H4" s="4" t="n"/>
      <c r="I4" s="4" t="n"/>
      <c r="J4" s="4" t="n"/>
      <c r="K4" s="4" t="n"/>
      <c r="L4" s="4" t="n"/>
      <c r="M4" s="4" t="n"/>
      <c r="N4" s="4" t="n"/>
      <c r="O4" s="4" t="n"/>
      <c r="P4" s="4" t="n"/>
    </row>
    <row r="5">
      <c r="B5" s="27" t="inlineStr">
        <is>
          <t>Round 1</t>
        </is>
      </c>
      <c r="C5" s="39" t="n">
        <v>0</v>
      </c>
      <c r="D5" s="39" t="n">
        <v>0</v>
      </c>
      <c r="E5" s="39" t="n"/>
      <c r="F5" s="44" t="n">
        <v>0</v>
      </c>
      <c r="G5" s="4" t="n"/>
      <c r="H5" s="4" t="n"/>
      <c r="I5" s="4" t="n"/>
      <c r="J5" s="4" t="n"/>
      <c r="K5" s="4" t="n"/>
      <c r="L5" s="4" t="n"/>
      <c r="M5" s="4" t="n"/>
      <c r="N5" s="4" t="n"/>
      <c r="O5" s="4" t="n"/>
      <c r="P5" s="4" t="n"/>
    </row>
    <row r="6">
      <c r="B6" s="27" t="inlineStr">
        <is>
          <t>Round 2</t>
        </is>
      </c>
      <c r="C6" s="39" t="n">
        <v>0</v>
      </c>
      <c r="D6" s="39" t="n">
        <v>0</v>
      </c>
      <c r="E6" s="39" t="n"/>
      <c r="F6" s="44" t="n">
        <v>0</v>
      </c>
      <c r="G6" s="4" t="n"/>
      <c r="H6" s="4" t="n"/>
      <c r="I6" s="4" t="n"/>
      <c r="J6" s="4" t="n"/>
      <c r="K6" s="4" t="n"/>
      <c r="L6" s="4" t="n"/>
      <c r="M6" s="4" t="n"/>
      <c r="N6" s="4" t="n"/>
      <c r="O6" s="4" t="n"/>
      <c r="P6" s="4" t="n"/>
    </row>
    <row r="7">
      <c r="B7" s="27" t="inlineStr">
        <is>
          <t>Round 3</t>
        </is>
      </c>
      <c r="C7" s="44" t="n">
        <v>0</v>
      </c>
      <c r="D7" s="44" t="n">
        <v>0</v>
      </c>
      <c r="E7" s="44" t="n"/>
      <c r="F7" s="44" t="n">
        <v>0</v>
      </c>
      <c r="G7" s="4" t="n"/>
      <c r="H7" s="4" t="n"/>
      <c r="I7" s="4" t="n"/>
      <c r="J7" s="4" t="n"/>
      <c r="K7" s="4" t="n"/>
      <c r="L7" s="4" t="n"/>
      <c r="M7" s="4" t="n"/>
      <c r="N7" s="4" t="n"/>
      <c r="O7" s="4" t="n"/>
      <c r="P7" s="4" t="n"/>
    </row>
    <row r="8">
      <c r="B8" s="4" t="n"/>
      <c r="C8" s="4" t="n"/>
      <c r="D8" s="4" t="n"/>
      <c r="E8" s="4" t="n"/>
      <c r="F8" s="4" t="n"/>
      <c r="G8" s="4" t="n"/>
      <c r="H8" s="4" t="n"/>
      <c r="I8" s="4" t="n"/>
      <c r="J8" s="4" t="n"/>
      <c r="K8" s="4" t="n"/>
      <c r="L8" s="4" t="n"/>
      <c r="M8" s="4" t="n"/>
      <c r="N8" s="4" t="n"/>
      <c r="O8" s="4" t="n"/>
      <c r="P8" s="4" t="n"/>
    </row>
    <row r="9">
      <c r="B9" s="94" t="inlineStr">
        <is>
          <t>Test Case ID</t>
        </is>
      </c>
      <c r="C9" s="94" t="inlineStr">
        <is>
          <t>Test Case Description</t>
        </is>
      </c>
      <c r="D9" s="94" t="inlineStr">
        <is>
          <t>Test Case Procedure</t>
        </is>
      </c>
      <c r="E9" s="94" t="inlineStr">
        <is>
          <t>Expected Results</t>
        </is>
      </c>
      <c r="F9" s="94" t="inlineStr">
        <is>
          <t>Pre-conditions</t>
        </is>
      </c>
      <c r="G9" s="94" t="inlineStr">
        <is>
          <t>Round 1</t>
        </is>
      </c>
      <c r="H9" s="94" t="inlineStr">
        <is>
          <t>Test date</t>
        </is>
      </c>
      <c r="I9" s="94" t="inlineStr">
        <is>
          <t>Tester</t>
        </is>
      </c>
      <c r="J9" s="94" t="inlineStr">
        <is>
          <t>Round 2</t>
        </is>
      </c>
      <c r="K9" s="94" t="inlineStr">
        <is>
          <t>Test date</t>
        </is>
      </c>
      <c r="L9" s="94" t="inlineStr">
        <is>
          <t>Tester</t>
        </is>
      </c>
      <c r="M9" s="94" t="inlineStr">
        <is>
          <t>Round 3</t>
        </is>
      </c>
      <c r="N9" s="94" t="inlineStr">
        <is>
          <t>Test date</t>
        </is>
      </c>
      <c r="O9" s="94" t="inlineStr">
        <is>
          <t>Tester</t>
        </is>
      </c>
      <c r="P9" s="94" t="inlineStr">
        <is>
          <t>Note</t>
        </is>
      </c>
    </row>
    <row r="10">
      <c r="B10" s="130" t="inlineStr">
        <is>
          <t>Verify the data entry for the new account creation form ("Add new employee"), check the uniqueness of the Email/Phone number, and verify that the default password email is sent.</t>
        </is>
      </c>
      <c r="C10" s="105" t="n"/>
      <c r="D10" s="105" t="n"/>
      <c r="E10" s="105" t="n"/>
      <c r="F10" s="105" t="n"/>
      <c r="G10" s="105" t="n"/>
      <c r="H10" s="105" t="n"/>
      <c r="I10" s="105" t="n"/>
      <c r="J10" s="105" t="n"/>
      <c r="K10" s="105" t="n"/>
      <c r="L10" s="105" t="n"/>
      <c r="M10" s="105" t="n"/>
      <c r="N10" s="105" t="n"/>
      <c r="O10" s="105" t="n"/>
      <c r="P10" s="106" t="n"/>
    </row>
    <row r="11">
      <c r="B11" s="80" t="inlineStr">
        <is>
          <t>SYS_USR_01</t>
        </is>
      </c>
      <c r="C11" s="82" t="inlineStr">
        <is>
          <t>Admin/Owner adds a new employee (SalesStaff) successfully</t>
        </is>
      </c>
      <c r="D11" s="82" t="inlineStr">
        <is>
          <t>1. Log in to the system with an Admin account.
2. Click on the "Nhân viên" menu on the sidebar to navigate to the /admin/user page.
3. Click the "Thêm nhân viên" button.
4. Fill in the employee creation form:
- Họ và tên: "Hoàng Hà Chi"
- Email: "Hoanghachi12082005@gmail.com"
- Số điện thoại: "0963585409"
- Vai trò: Select "SalesStaff"
- Chi nhánh: Select "Hà Nội 2"
5. Click the "Lưu" button.</t>
        </is>
      </c>
      <c r="E11" s="82" t="inlineStr">
        <is>
          <t>- The system displays success message: "Thêm mới nhân viên thành công."
- The new employee "Hoàng Hà Chi" appears in the user list with status "Hoạt động".
- An email containing the default password is sent to "Hoanghachi12082005@gmail.com".</t>
        </is>
      </c>
      <c r="F11" s="82" t="inlineStr">
        <is>
          <t>- An active Admin account exists and is logged in.
- "Chi nhánh Quận 1" exists in the database.</t>
        </is>
      </c>
      <c r="G11" s="60" t="inlineStr">
        <is>
          <t>Passed</t>
        </is>
      </c>
      <c r="H11" s="98" t="n">
        <v>46224</v>
      </c>
      <c r="I11" s="100" t="inlineStr">
        <is>
          <t>ChiHTH</t>
        </is>
      </c>
      <c r="J11" s="60" t="n"/>
      <c r="K11" s="100" t="n"/>
      <c r="L11" s="100" t="n"/>
      <c r="M11" s="60" t="n"/>
      <c r="N11" s="100" t="n"/>
      <c r="O11" s="100" t="n"/>
      <c r="P11" s="100" t="n"/>
    </row>
    <row r="12">
      <c r="B12" s="130" t="inlineStr">
        <is>
          <t>Determine the immediate effect of the update ("Update") and account lock ("Lock Account") actions.</t>
        </is>
      </c>
      <c r="C12" s="105" t="n"/>
      <c r="D12" s="105" t="n"/>
      <c r="E12" s="105" t="n"/>
      <c r="F12" s="105" t="n"/>
      <c r="G12" s="105" t="n"/>
      <c r="H12" s="105" t="n"/>
      <c r="I12" s="105" t="n"/>
      <c r="J12" s="105" t="n"/>
      <c r="K12" s="105" t="n"/>
      <c r="L12" s="105" t="n"/>
      <c r="M12" s="105" t="n"/>
      <c r="N12" s="105" t="n"/>
      <c r="O12" s="105" t="n"/>
      <c r="P12" s="106" t="n"/>
    </row>
    <row r="13">
      <c r="B13" s="80" t="inlineStr">
        <is>
          <t>SYS_USR_02</t>
        </is>
      </c>
      <c r="C13" s="82" t="inlineStr">
        <is>
          <t>Admin edits an employee's role and branch successfully</t>
        </is>
      </c>
      <c r="D13" s="82" t="inlineStr">
        <is>
          <t>1. Log in to the system with an Admin account.
2. Click on the "Quản lý nhân viên" menu on the sidebar.
3. Find the employee "Nguyễn Văn A" and click the "Chỉnh sửa" icon.
4. Modify the fields in the form:
- Chi nhánh: Select "Chi nhánh Quận 3"
- Vai trò: Select "StoreManager"
5. Click the "Cập nhật" button.</t>
        </is>
      </c>
      <c r="E13" s="82" t="inlineStr">
        <is>
          <t>- The system displays success message: "Cập nhật thông tin nhân viên thành công."
- The employee profile is updated with the new role "StoreManager" and branch "Chi nhánh Quận 3".</t>
        </is>
      </c>
      <c r="F13" s="82" t="inlineStr">
        <is>
          <t>- An active Admin account is logged in.
- The employee account for "Nguyễn Văn A" exists.</t>
        </is>
      </c>
      <c r="G13" s="60" t="n"/>
      <c r="H13" s="98" t="n">
        <v>46224</v>
      </c>
      <c r="I13" s="100" t="n"/>
      <c r="J13" s="60" t="n"/>
      <c r="K13" s="100" t="n"/>
      <c r="L13" s="100" t="n"/>
      <c r="M13" s="60" t="n"/>
      <c r="N13" s="100" t="n"/>
      <c r="O13" s="100" t="n"/>
      <c r="P13" s="100" t="n"/>
    </row>
    <row r="14">
      <c r="B14" s="80" t="inlineStr">
        <is>
          <t>SYS_USR_03</t>
        </is>
      </c>
      <c r="C14" s="82" t="inlineStr">
        <is>
          <t>Admin locks an active employee account successfully</t>
        </is>
      </c>
      <c r="D14" s="82" t="inlineStr">
        <is>
          <t>1. Log in to the system with an Admin account.
2. Click on the "Quản lý nhân viên" menu.
3. Find the employee "Nguyễn Văn A" and click the "Khóa tài khoản" button.
4. Click "Đồng ý" on the confirmation dialog.</t>
        </is>
      </c>
      <c r="E14" s="82" t="inlineStr">
        <is>
          <t>- The system displays success message: "Khóa tài khoản thành công."
- The account status of "Nguyễn Văn A" changes to "Bị khóa" (Disabled).
- The user is unable to log in with this account.</t>
        </is>
      </c>
      <c r="F14" s="82" t="inlineStr">
        <is>
          <t>- An active Admin account is logged in.
- The employee account "Nguyễn Văn A" is currently active.</t>
        </is>
      </c>
      <c r="G14" s="60" t="n"/>
      <c r="H14" s="98" t="n">
        <v>46224</v>
      </c>
      <c r="I14" s="100" t="n"/>
      <c r="J14" s="60" t="n"/>
      <c r="K14" s="100" t="n"/>
      <c r="L14" s="100" t="n"/>
      <c r="M14" s="60" t="n"/>
      <c r="N14" s="100" t="n"/>
      <c r="O14" s="100" t="n"/>
      <c r="P14" s="100" t="n"/>
    </row>
    <row r="15">
      <c r="B15" s="80" t="inlineStr">
        <is>
          <t>SYS_USR_04</t>
        </is>
      </c>
      <c r="C15" s="82" t="inlineStr">
        <is>
          <t>Admin resets an employee's password successfully</t>
        </is>
      </c>
      <c r="D15" s="82" t="inlineStr">
        <is>
          <t>1. Log in to the system with an Admin account.
2. Click on the "Quản lý nhân viên" menu.
3. Find the employee "Nguyễn Văn A" and click the "Khôi phục mật khẩu" button.
4. Click "Xác nhận" on the confirmation dialog.</t>
        </is>
      </c>
      <c r="E15" s="82" t="inlineStr">
        <is>
          <t>- The system displays success message: "Đặt lại mật khẩu thành công. Mật khẩu mới đã được gửi tới email của nhân viên."
- A new password is generated and sent to "vana@finora.vn".</t>
        </is>
      </c>
      <c r="F15" s="82" t="inlineStr">
        <is>
          <t>- An active Admin account is logged in.
- The employee account "Nguyễn Văn A" exists with a valid email.</t>
        </is>
      </c>
      <c r="G15" s="60" t="n"/>
      <c r="H15" s="98" t="n">
        <v>46224</v>
      </c>
      <c r="I15" s="100" t="n"/>
      <c r="J15" s="60" t="n"/>
      <c r="K15" s="100" t="n"/>
      <c r="L15" s="100" t="n"/>
      <c r="M15" s="60" t="n"/>
      <c r="N15" s="100" t="n"/>
      <c r="O15" s="100" t="n"/>
      <c r="P15" s="100" t="n"/>
    </row>
    <row r="16">
      <c r="A16" s="25" t="n"/>
      <c r="B16" s="130" t="inlineStr">
        <is>
          <t>Check the access permissions for the employee list page based on three role groups (Admin, Owner, StoreManager).</t>
        </is>
      </c>
      <c r="C16" s="105" t="n"/>
      <c r="D16" s="105" t="n"/>
      <c r="E16" s="105" t="n"/>
      <c r="F16" s="105" t="n"/>
      <c r="G16" s="105" t="n"/>
      <c r="H16" s="105" t="n"/>
      <c r="I16" s="105" t="n"/>
      <c r="J16" s="105" t="n"/>
      <c r="K16" s="105" t="n"/>
      <c r="L16" s="105" t="n"/>
      <c r="M16" s="105" t="n"/>
      <c r="N16" s="105" t="n"/>
      <c r="O16" s="105" t="n"/>
      <c r="P16" s="106" t="n"/>
      <c r="Q16" s="25" t="n"/>
      <c r="R16" s="25" t="n"/>
      <c r="S16" s="25" t="n"/>
      <c r="T16" s="25" t="n"/>
      <c r="U16" s="25" t="n"/>
      <c r="V16" s="25" t="n"/>
      <c r="W16" s="25" t="n"/>
      <c r="X16" s="25" t="n"/>
      <c r="Y16" s="25" t="n"/>
      <c r="Z16" s="25" t="n"/>
    </row>
    <row r="17">
      <c r="B17" s="80" t="inlineStr">
        <is>
          <t>SYS_USR_05</t>
        </is>
      </c>
      <c r="C17" s="82" t="inlineStr">
        <is>
          <t>Admin attempts to create an employee with an existing email (Validation Error)</t>
        </is>
      </c>
      <c r="D17" s="82" t="inlineStr">
        <is>
          <t>1. Log in as Admin and navigate to /admin/user.
2. Click "Thêm mới nhân viên".
3. Fill in the form using an email that already exists: "vana@finora.vn".
4. Click "Lưu".</t>
        </is>
      </c>
      <c r="E17" s="82" t="inlineStr">
        <is>
          <t>- The form is not submitted.
- The system displays validation error: "Email đã được sử dụng bởi tài khoản khác."</t>
        </is>
      </c>
      <c r="F17" s="82" t="inlineStr">
        <is>
          <t>- Admin account is logged in.
- An account with email "vana@finora.vn" already exists.</t>
        </is>
      </c>
      <c r="G17" s="102" t="n"/>
      <c r="H17" s="98" t="n">
        <v>46224</v>
      </c>
      <c r="I17" s="102" t="n"/>
      <c r="J17" s="102" t="n"/>
      <c r="K17" s="102" t="n"/>
      <c r="L17" s="102" t="n"/>
      <c r="M17" s="102" t="n"/>
      <c r="N17" s="102" t="n"/>
      <c r="O17" s="102" t="n"/>
      <c r="P17" s="102" t="n"/>
    </row>
    <row r="18">
      <c r="B18" s="80" t="inlineStr">
        <is>
          <t>SYS_USR_06</t>
        </is>
      </c>
      <c r="C18" s="82" t="inlineStr">
        <is>
          <t>Owner views the employee list across multiple branches (Owner role behavior)</t>
        </is>
      </c>
      <c r="D18" s="82" t="inlineStr">
        <is>
          <t>1. Log in with an Owner account.
2. Click the "Danh sách nhân viên" menu to load /owner/emp.
3. Click the branch filter dropdown: "Chi nhánh" and select "Tất cả chi nhánh".
4. Change the filter to "Chi nhánh Quận 1".</t>
        </is>
      </c>
      <c r="E18" s="82" t="inlineStr">
        <is>
          <t>- Under "Tất cả chi nhánh", the table lists all employees across all active branches.
- Filtering by "Chi nhánh Quận 1" updates the list via AJAX to show only employees assigned to that branch.</t>
        </is>
      </c>
      <c r="F18" s="82" t="inlineStr">
        <is>
          <t>- Owner account is active.
- Multiple branches and employees exist in the database.</t>
        </is>
      </c>
      <c r="G18" s="102" t="n"/>
      <c r="H18" s="98" t="n">
        <v>46224</v>
      </c>
      <c r="I18" s="102" t="n"/>
      <c r="J18" s="102" t="n"/>
      <c r="K18" s="102" t="n"/>
      <c r="L18" s="102" t="n"/>
      <c r="M18" s="102" t="n"/>
      <c r="N18" s="102" t="n"/>
      <c r="O18" s="102" t="n"/>
      <c r="P18" s="102" t="n"/>
    </row>
    <row r="19">
      <c r="B19" s="80" t="inlineStr">
        <is>
          <t>SYS_USR_07</t>
        </is>
      </c>
      <c r="C19" s="82" t="inlineStr">
        <is>
          <t>StoreManager views employee list (read-only branch scope)</t>
        </is>
      </c>
      <c r="D19" s="82" t="inlineStr">
        <is>
          <t>1. Log in with a StoreManager account assigned to "Chi nhánh Quận 1".
2. Click "Nhân viên chi nhánh" at /manager/emp.</t>
        </is>
      </c>
      <c r="E19" s="82" t="inlineStr">
        <is>
          <t>- The system lists only employees assigned to "Chi nhánh Quận 1".
- There are no "Thêm mới nhân viên", "Chỉnh sửa", or "Khóa tài khoản" buttons visible (read-only list).</t>
        </is>
      </c>
      <c r="F19" s="82" t="inlineStr">
        <is>
          <t>- StoreManager account is logged in and assigned to "Chi nhánh Quận 1".</t>
        </is>
      </c>
      <c r="G19" s="102" t="n"/>
      <c r="H19" s="98" t="n">
        <v>46224</v>
      </c>
      <c r="I19" s="102" t="n"/>
      <c r="J19" s="102" t="n"/>
      <c r="K19" s="102" t="n"/>
      <c r="L19" s="102" t="n"/>
      <c r="M19" s="102" t="n"/>
      <c r="N19" s="102" t="n"/>
      <c r="O19" s="102" t="n"/>
      <c r="P19" s="102" t="n"/>
    </row>
  </sheetData>
  <mergeCells count="6">
    <mergeCell ref="C3:F3"/>
    <mergeCell ref="B16:P16"/>
    <mergeCell ref="B10:P10"/>
    <mergeCell ref="C1:F1"/>
    <mergeCell ref="C2:F2"/>
    <mergeCell ref="B12:P12"/>
  </mergeCell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P39"/>
  <sheetViews>
    <sheetView workbookViewId="0">
      <selection activeCell="A1" sqref="A1"/>
    </sheetView>
  </sheetViews>
  <sheetFormatPr baseColWidth="8" defaultColWidth="12.63" defaultRowHeight="15.75" customHeight="1"/>
  <cols>
    <col width="19.13" customWidth="1" style="103" min="2" max="2"/>
    <col width="21.88" customWidth="1" style="103" min="3" max="3"/>
    <col width="28.5" customWidth="1" style="103" min="4" max="4"/>
    <col width="29.13" customWidth="1" style="103" min="5" max="5"/>
    <col width="29.88" customWidth="1" style="103" min="6" max="6"/>
  </cols>
  <sheetData>
    <row r="1">
      <c r="B1" s="1" t="inlineStr">
        <is>
          <t>Workflow</t>
        </is>
      </c>
      <c r="C1" s="28" t="inlineStr">
        <is>
          <t>Goods Importation &amp; Inventory Update</t>
        </is>
      </c>
      <c r="D1" s="105" t="n"/>
      <c r="E1" s="105" t="n"/>
      <c r="F1" s="106" t="n"/>
      <c r="G1" s="4" t="n"/>
      <c r="H1" s="4" t="n"/>
      <c r="I1" s="4" t="n"/>
      <c r="J1" s="4" t="n"/>
      <c r="K1" s="4" t="n"/>
      <c r="L1" s="4" t="n"/>
      <c r="M1" s="4" t="n"/>
      <c r="N1" s="4" t="n"/>
      <c r="O1" s="4" t="n"/>
      <c r="P1" s="4" t="n"/>
    </row>
    <row r="2">
      <c r="B2" s="1" t="inlineStr">
        <is>
          <t>Test requirement</t>
        </is>
      </c>
      <c r="C2" s="60" t="inlineStr">
        <is>
          <t>Verify the warehousing process from the supplier: Create a new supplier (if not already existing), generate a warehousing receipt for the product, confirm the actual receipt of goods, check that the inventory quantity automatically increases, calculate the value of the goods received, and automatically generate the corresponding payment/accounts payable voucher.</t>
        </is>
      </c>
      <c r="D2" s="105" t="n"/>
      <c r="E2" s="105" t="n"/>
      <c r="F2" s="106" t="n"/>
      <c r="G2" s="4" t="n"/>
      <c r="H2" s="4" t="n"/>
      <c r="I2" s="4" t="n"/>
      <c r="J2" s="4" t="n"/>
      <c r="K2" s="4" t="n"/>
      <c r="L2" s="4" t="n"/>
      <c r="M2" s="4" t="n"/>
      <c r="N2" s="4" t="n"/>
      <c r="O2" s="4" t="n"/>
      <c r="P2" s="4" t="n"/>
    </row>
    <row r="3">
      <c r="B3" s="19" t="inlineStr">
        <is>
          <t>Number of TCs</t>
        </is>
      </c>
      <c r="C3" s="117" t="n">
        <v>10</v>
      </c>
      <c r="D3" s="105" t="n"/>
      <c r="E3" s="105" t="n"/>
      <c r="F3" s="106" t="n"/>
      <c r="G3" s="4" t="n"/>
      <c r="H3" s="4" t="n"/>
      <c r="I3" s="4" t="n"/>
      <c r="J3" s="4" t="n"/>
      <c r="K3" s="4" t="n"/>
      <c r="L3" s="4" t="n"/>
      <c r="M3" s="4" t="n"/>
      <c r="N3" s="4" t="n"/>
      <c r="O3" s="4" t="n"/>
      <c r="P3" s="4" t="n"/>
    </row>
    <row r="4">
      <c r="B4" s="27" t="inlineStr">
        <is>
          <t>Testing Round</t>
        </is>
      </c>
      <c r="C4" s="30" t="inlineStr">
        <is>
          <t>Passed</t>
        </is>
      </c>
      <c r="D4" s="30" t="inlineStr">
        <is>
          <t>Failed</t>
        </is>
      </c>
      <c r="E4" s="30" t="inlineStr">
        <is>
          <t>Pending</t>
        </is>
      </c>
      <c r="F4" s="33" t="inlineStr">
        <is>
          <t>N/A</t>
        </is>
      </c>
      <c r="G4" s="4" t="n"/>
      <c r="H4" s="4" t="n"/>
      <c r="I4" s="4" t="n"/>
      <c r="J4" s="4" t="n"/>
      <c r="K4" s="4" t="n"/>
      <c r="L4" s="4" t="n"/>
      <c r="M4" s="4" t="n"/>
      <c r="N4" s="4" t="n"/>
      <c r="O4" s="4" t="n"/>
      <c r="P4" s="4" t="n"/>
    </row>
    <row r="5">
      <c r="B5" s="27" t="inlineStr">
        <is>
          <t>Round 1</t>
        </is>
      </c>
      <c r="C5" s="39" t="n">
        <v>10</v>
      </c>
      <c r="D5" s="39" t="n">
        <v>0</v>
      </c>
      <c r="E5" s="39" t="n">
        <v>0</v>
      </c>
      <c r="F5" s="44" t="n">
        <v>0</v>
      </c>
      <c r="G5" s="4" t="n"/>
      <c r="H5" s="4" t="n"/>
      <c r="I5" s="4" t="n"/>
      <c r="J5" s="4" t="n"/>
      <c r="K5" s="4" t="n"/>
      <c r="L5" s="4" t="n"/>
      <c r="M5" s="4" t="n"/>
      <c r="N5" s="4" t="n"/>
      <c r="O5" s="4" t="n"/>
      <c r="P5" s="4" t="n"/>
    </row>
    <row r="6">
      <c r="B6" s="27" t="inlineStr">
        <is>
          <t>Round 2</t>
        </is>
      </c>
      <c r="C6" s="39" t="n">
        <v>0</v>
      </c>
      <c r="D6" s="39" t="n">
        <v>0</v>
      </c>
      <c r="E6" s="39" t="n"/>
      <c r="F6" s="44" t="n">
        <v>0</v>
      </c>
      <c r="G6" s="4" t="n"/>
      <c r="H6" s="4" t="n"/>
      <c r="I6" s="4" t="n"/>
      <c r="J6" s="4" t="n"/>
      <c r="K6" s="4" t="n"/>
      <c r="L6" s="4" t="n"/>
      <c r="M6" s="4" t="n"/>
      <c r="N6" s="4" t="n"/>
      <c r="O6" s="4" t="n"/>
      <c r="P6" s="4" t="n"/>
    </row>
    <row r="7">
      <c r="B7" s="27" t="inlineStr">
        <is>
          <t>Round 3</t>
        </is>
      </c>
      <c r="C7" s="44" t="n">
        <v>0</v>
      </c>
      <c r="D7" s="44" t="n">
        <v>0</v>
      </c>
      <c r="E7" s="44" t="n"/>
      <c r="F7" s="44" t="n">
        <v>0</v>
      </c>
      <c r="G7" s="4" t="n"/>
      <c r="H7" s="4" t="n"/>
      <c r="I7" s="4" t="n"/>
      <c r="J7" s="4" t="n"/>
      <c r="K7" s="4" t="n"/>
      <c r="L7" s="4" t="n"/>
      <c r="M7" s="4" t="n"/>
      <c r="N7" s="4" t="n"/>
      <c r="O7" s="4" t="n"/>
      <c r="P7" s="4" t="n"/>
    </row>
    <row r="8">
      <c r="B8" s="4" t="n"/>
      <c r="C8" s="4" t="n"/>
      <c r="D8" s="4" t="n"/>
      <c r="E8" s="4" t="n"/>
      <c r="F8" s="4" t="n"/>
      <c r="G8" s="4" t="n"/>
      <c r="H8" s="4" t="n"/>
      <c r="I8" s="4" t="n"/>
      <c r="J8" s="4" t="n"/>
      <c r="K8" s="4" t="n"/>
      <c r="L8" s="4" t="n"/>
      <c r="M8" s="4" t="n"/>
      <c r="N8" s="4" t="n"/>
      <c r="O8" s="4" t="n"/>
      <c r="P8" s="4" t="n"/>
    </row>
    <row r="9">
      <c r="B9" s="49" t="inlineStr">
        <is>
          <t>Test Case ID</t>
        </is>
      </c>
      <c r="C9" s="49" t="inlineStr">
        <is>
          <t>Test Case Description</t>
        </is>
      </c>
      <c r="D9" s="49" t="inlineStr">
        <is>
          <t>Test Case Procedure</t>
        </is>
      </c>
      <c r="E9" s="49" t="inlineStr">
        <is>
          <t>Expected Results</t>
        </is>
      </c>
      <c r="F9" s="49" t="inlineStr">
        <is>
          <t>Pre-conditions</t>
        </is>
      </c>
      <c r="G9" s="49" t="inlineStr">
        <is>
          <t>Round 1</t>
        </is>
      </c>
      <c r="H9" s="49" t="inlineStr">
        <is>
          <t>Test date</t>
        </is>
      </c>
      <c r="I9" s="49" t="inlineStr">
        <is>
          <t>Tester</t>
        </is>
      </c>
      <c r="J9" s="49" t="inlineStr">
        <is>
          <t>Round 2</t>
        </is>
      </c>
      <c r="K9" s="49" t="inlineStr">
        <is>
          <t>Test date</t>
        </is>
      </c>
      <c r="L9" s="49" t="inlineStr">
        <is>
          <t>Tester</t>
        </is>
      </c>
      <c r="M9" s="49" t="inlineStr">
        <is>
          <t>Round 3</t>
        </is>
      </c>
      <c r="N9" s="49" t="inlineStr">
        <is>
          <t>Test date</t>
        </is>
      </c>
      <c r="O9" s="49" t="inlineStr">
        <is>
          <t>Tester</t>
        </is>
      </c>
      <c r="P9" s="49" t="inlineStr">
        <is>
          <t>Note</t>
        </is>
      </c>
    </row>
    <row r="10">
      <c r="B10" s="118" t="inlineStr">
        <is>
          <t>Validate the creation of a receipt (quantity &gt; 0 &gt; 0), and the receipt approval process through the statuses "Pending Approval", "Rejected", and "Received".</t>
        </is>
      </c>
    </row>
    <row r="11">
      <c r="B11" s="131" t="inlineStr">
        <is>
          <t>SYS_INV_01</t>
        </is>
      </c>
      <c r="C11" s="132" t="inlineStr">
        <is>
          <t>WarehouseStaff creates a Goods Import Order via Manual Entry mode (Pending Approval)</t>
        </is>
      </c>
      <c r="D11" s="132" t="inlineStr">
        <is>
          <t>1. Log in as WarehouseStaff.
2. Navigate to /inventory?tab=stock&amp;warehouseId=1.
3. Click "Nhập Hàng" button to open modal #importStockModal.
4. On tab "Nhập tay", type product name "Sữa tươi Vinamilk 1L" into search box #importSearchInput.
5. Select matching product from dropdown. Select supplier "Công ty TNHH Hải Nam", enter import price 20000, and quantity 100.
6. Enter optional note "Nhập kho định kỳ tháng 7".
7. Click "Nhập hàng" button (#importSubmitBtn) to submit form (action=saveImport).</t>
        </is>
      </c>
      <c r="E11" s="132" t="inlineStr">
        <is>
          <t>- System displays success message: "Đã tạo phiếu nhập hàng (Chờ duyệt)."
- Purchase order is created in DB with status PENDING and code PO-[timestamp].
- Physical inventory stock of "Sữa tươi Vinamilk 1L" is NOT updated yet.
- No payment transaction is created in Cashbook yet.</t>
        </is>
      </c>
      <c r="F11" s="132" t="inlineStr">
        <is>
          <t>- Active WarehouseStaff account is logged in.
- Active warehouse is selected (selectedWarehouseId).
- Products and active suppliers exist in system.</t>
        </is>
      </c>
      <c r="G11" s="121" t="inlineStr">
        <is>
          <t>Passed</t>
        </is>
      </c>
      <c r="H11" s="122" t="n">
        <v>46228</v>
      </c>
      <c r="I11" s="123" t="inlineStr">
        <is>
          <t>ChiHTH</t>
        </is>
      </c>
      <c r="J11" s="123" t="n"/>
      <c r="K11" s="123" t="n"/>
      <c r="L11" s="123" t="n"/>
      <c r="M11" s="123" t="n"/>
      <c r="N11" s="123" t="n"/>
      <c r="O11" s="123" t="n"/>
      <c r="P11" s="84" t="n"/>
    </row>
    <row r="12">
      <c r="B12" s="131" t="inlineStr">
        <is>
          <t>SYS_INV_02</t>
        </is>
      </c>
      <c r="C12" s="132" t="inlineStr">
        <is>
          <t>StoreManager / Owner approves a pending Goods Import Order (Stock Increase &amp; Auto Cashbook Expense)</t>
        </is>
      </c>
      <c r="D12" s="132" t="inlineStr">
        <is>
          <t>1. Log in as StoreManager.
2. Navigate to /inventory?tab=approval or /inventory?tab=history.
3. Locate the pending purchase order and click "Xem chi tiết".
4. Click "Duyệt phiếu" button (POST action=approveOrder&amp;orderId=... to /inventory-order).</t>
        </is>
      </c>
      <c r="E12" s="132" t="inlineStr">
        <is>
          <t>- System displays success message: "Đã phê duyệt phiếu và cập nhật tồn kho thành công."
- Order status in DB updates to COMPLETED.
- Inventory stock count of "Sữa tươi Vinamilk 1L" increases directly by 100 units.
- Stock transaction logged with type "IMPORT", source "PURCHASE_ORDER", notes "Nhập hàng từ phiếu PO-...".
- An expense payment record (paymentType="EXPENSE", status="PAID") equal to order total amount is automatically created in Cashbook (payment table).</t>
        </is>
      </c>
      <c r="F12" s="132" t="inlineStr">
        <is>
          <t>- Active StoreManager or Owner account is logged in.
- A pending purchase order (PO-[timestamp], status PENDING) created by WarehouseStaff exists.</t>
        </is>
      </c>
      <c r="G12" s="121" t="inlineStr">
        <is>
          <t>Passed</t>
        </is>
      </c>
      <c r="H12" s="122" t="n">
        <v>46228</v>
      </c>
      <c r="I12" s="123" t="inlineStr">
        <is>
          <t>ChiHTH</t>
        </is>
      </c>
      <c r="J12" s="123" t="n"/>
      <c r="K12" s="123" t="n"/>
      <c r="L12" s="123" t="n"/>
      <c r="M12" s="123" t="n"/>
      <c r="N12" s="123" t="n"/>
      <c r="O12" s="123" t="n"/>
      <c r="P12" s="84" t="n"/>
    </row>
    <row r="13">
      <c r="B13" s="133" t="inlineStr">
        <is>
          <t>SYS_INV_03</t>
        </is>
      </c>
      <c r="C13" s="125" t="inlineStr">
        <is>
          <t>StoreManager / Owner creates a Goods Import Order (Immediate Stock Increase &amp; Cashbook Expense)</t>
        </is>
      </c>
      <c r="D13" s="125" t="inlineStr">
        <is>
          <t>1. Log in as StoreManager or Owner.
2. Click "Nhập Hàng" button on /inventory?tab=stock.
3. Search and add product "Sữa tươi Vinamilk 1L", select supplier, enter import price 20000 and quantity 50.
4. Click "Nhập hàng" button.</t>
        </is>
      </c>
      <c r="E13" s="125" t="inlineStr">
        <is>
          <t>- System displays success message: "Đã nhập hàng và cập nhật tồn kho thành công!"
- Purchase order is created directly with status COMPLETED.
- Inventory stock of "Sữa tươi Vinamilk 1L" increases immediately by 50 units.
- Stock transaction logged as "IMPORT".
- Expense payment record (EXPENSE, PAID) is automatically created in Cashbook.</t>
        </is>
      </c>
      <c r="F13" s="125" t="inlineStr">
        <is>
          <t>- Active StoreManager or Owner account is logged in.
- Active warehouse selected.</t>
        </is>
      </c>
      <c r="G13" s="126" t="inlineStr">
        <is>
          <t>Passed</t>
        </is>
      </c>
      <c r="H13" s="134" t="n">
        <v>46228</v>
      </c>
      <c r="I13" s="127" t="inlineStr">
        <is>
          <t>ChiHTH</t>
        </is>
      </c>
      <c r="J13" s="127" t="n"/>
      <c r="K13" s="127" t="n"/>
      <c r="L13" s="127" t="n"/>
      <c r="M13" s="127" t="n"/>
      <c r="N13" s="127" t="n"/>
      <c r="O13" s="127" t="n"/>
    </row>
    <row r="14">
      <c r="B14" s="131" t="inlineStr">
        <is>
          <t>SYS_INV_04</t>
        </is>
      </c>
      <c r="C14" s="132" t="inlineStr">
        <is>
          <t>WarehouseStaff imports goods using Excel file upload template (handleExcelUpload)</t>
        </is>
      </c>
      <c r="D14" s="132" t="inlineStr">
        <is>
          <t>1. Log in as WarehouseStaff and click "Nhập Hàng" button on /inventory?tab=stock.
2. Switch to tab "Nhập từ Excel".
3. Click "Tải file mẫu" (downloadExcelTemplate()) to get .xlsx template.
4. Fill template Excel with columns: Tên sản phẩm ("Sữa tươi Vinamilk 1L"), Mã NCC (1), Tên NCC, Số lượng nhập (100). Save file.
5. On modal, click "Chọn file Excel" (handleExcelUpload()) and select the .xlsx file.
6. JS parses file, matches products, populates #excelImportProductTableBody, and enables "Nhập hàng" button.
7. Click "Nhập hàng" button.</t>
        </is>
      </c>
      <c r="E14" s="132" t="inlineStr">
        <is>
          <t>- System displays success message: "Đã tạo phiếu nhập hàng (Chờ duyệt)."
- Import order created with status PENDING.</t>
        </is>
      </c>
      <c r="F14" s="132" t="inlineStr">
        <is>
          <t>- Active WarehouseStaff account is logged in.
- Downloaded Excel import template Mau_Nhap_Hang_[Date].xlsx.</t>
        </is>
      </c>
      <c r="G14" s="121" t="inlineStr">
        <is>
          <t>Passed</t>
        </is>
      </c>
      <c r="H14" s="122" t="n">
        <v>46228</v>
      </c>
      <c r="I14" s="123" t="inlineStr">
        <is>
          <t>ChiHTH</t>
        </is>
      </c>
      <c r="J14" s="123" t="n"/>
      <c r="K14" s="123" t="n"/>
      <c r="L14" s="123" t="n"/>
      <c r="M14" s="123" t="n"/>
      <c r="N14" s="123" t="n"/>
      <c r="O14" s="123" t="n"/>
      <c r="P14" s="84" t="n"/>
    </row>
    <row r="15">
      <c r="B15" s="131" t="inlineStr">
        <is>
          <t>SYS_INV_05</t>
        </is>
      </c>
      <c r="C15" s="132" t="inlineStr">
        <is>
          <t>StoreManager rejects a pending Goods Import Order (rejectOrder)</t>
        </is>
      </c>
      <c r="D15" s="132" t="inlineStr">
        <is>
          <t>1. Log in as StoreManager.
2. Navigate to /inventory?tab=approval or /inventory?tab=history.
3. Locate target pending import order and click "Từ chối" button.</t>
        </is>
      </c>
      <c r="E15" s="132" t="inlineStr">
        <is>
          <t>- System displays success message: "Đã từ chối phiếu."
- Order status in DB updates to REJECTED.
- Physical inventory stock is NOT modified.
- No Cashbook expense record is created.</t>
        </is>
      </c>
      <c r="F15" s="132" t="inlineStr">
        <is>
          <t>- Active StoreManager account is logged in.
- A pending purchase order (PENDING) exists in approval queue.</t>
        </is>
      </c>
      <c r="G15" s="121" t="inlineStr">
        <is>
          <t>Passed</t>
        </is>
      </c>
      <c r="H15" s="122" t="n">
        <v>46228</v>
      </c>
      <c r="I15" s="123" t="inlineStr">
        <is>
          <t>ChiHTH</t>
        </is>
      </c>
      <c r="J15" s="123" t="n"/>
      <c r="K15" s="123" t="n"/>
      <c r="L15" s="123" t="n"/>
      <c r="M15" s="123" t="n"/>
      <c r="N15" s="123" t="n"/>
      <c r="O15" s="123" t="n"/>
      <c r="P15" s="84" t="n"/>
    </row>
    <row r="16">
      <c r="B16" s="131" t="inlineStr">
        <is>
          <t>SYS_INV_06</t>
        </is>
      </c>
      <c r="C16" s="132" t="inlineStr">
        <is>
          <t>WarehouseStaff cancels a pending Goods Import Order created by themselves (cancelOrder)</t>
        </is>
      </c>
      <c r="D16" s="132" t="inlineStr">
        <is>
          <t>1. Log in as the WarehouseStaff creator.
2. Navigate to /inventory?tab=pending_vouchers or /inventory?tab=stock.
3. Locate the pending purchase order and click "Hủy phiếu" button.</t>
        </is>
      </c>
      <c r="E16" s="132" t="inlineStr">
        <is>
          <t>- System displays success message: "Đã hủy phiếu thành công."
- Order status in DB updates to CANCELLED.
- Physical stock is NOT modified.</t>
        </is>
      </c>
      <c r="F16" s="132" t="inlineStr">
        <is>
          <t>- Active WarehouseStaff account is logged in.
- A pending purchase order (PENDING) created by this WarehouseStaff exists.</t>
        </is>
      </c>
      <c r="G16" s="126" t="inlineStr">
        <is>
          <t>Passed</t>
        </is>
      </c>
      <c r="H16" s="122" t="n">
        <v>46228</v>
      </c>
      <c r="I16" s="127" t="inlineStr">
        <is>
          <t>ChiHTH</t>
        </is>
      </c>
      <c r="J16" s="127" t="n"/>
      <c r="K16" s="127" t="n"/>
      <c r="L16" s="127" t="n"/>
      <c r="M16" s="127" t="n"/>
      <c r="N16" s="127" t="n"/>
      <c r="O16" s="127" t="n"/>
      <c r="P16" s="101" t="n"/>
    </row>
    <row r="17">
      <c r="B17" s="131" t="inlineStr">
        <is>
          <t>SYS_INV_07</t>
        </is>
      </c>
      <c r="C17" s="132" t="inlineStr">
        <is>
          <t>WarehouseStaff attempts to approve a Goods Import Order (Permission Denial)</t>
        </is>
      </c>
      <c r="D17" s="132" t="inlineStr">
        <is>
          <t>1. Log in as WarehouseStaff.
2. Attempt to send HTTP POST request to /inventory-order with action=approveOrder&amp;orderId=123.</t>
        </is>
      </c>
      <c r="E17" s="132" t="inlineStr">
        <is>
          <t>- Server blocks request and returns HTTP 403 Forbidden.
- WarehouseStaff cannot approve purchase orders.</t>
        </is>
      </c>
      <c r="F17" s="132" t="inlineStr">
        <is>
          <t>- Active WarehouseStaff account is logged in.
- A pending purchase order exists.</t>
        </is>
      </c>
      <c r="G17" s="126" t="inlineStr">
        <is>
          <t>Passed</t>
        </is>
      </c>
      <c r="H17" s="122" t="n">
        <v>46228</v>
      </c>
      <c r="I17" s="127" t="inlineStr">
        <is>
          <t>ChiHTH</t>
        </is>
      </c>
      <c r="J17" s="127" t="n"/>
      <c r="K17" s="127" t="n"/>
      <c r="L17" s="127" t="n"/>
      <c r="M17" s="127" t="n"/>
      <c r="N17" s="127" t="n"/>
      <c r="O17" s="127" t="n"/>
      <c r="P17" s="101" t="n"/>
    </row>
    <row r="18">
      <c r="B18" s="124" t="inlineStr">
        <is>
          <t>SYS_INV_08</t>
        </is>
      </c>
      <c r="C18" s="125" t="inlineStr">
        <is>
          <t>WarehouseStaff attempts to create a Goods Import Order with invalid quantity (qty &lt;= 0)</t>
        </is>
      </c>
      <c r="D18" s="125" t="inlineStr">
        <is>
          <t>1. Log in as WarehouseStaff and open #importStockModal.
2. Select product, select supplier, enter quantity 0 (or -5).
3. Send form submission.</t>
        </is>
      </c>
      <c r="E18" s="125" t="inlineStr">
        <is>
          <t>- Submission is blocked by validation.
- System displays error message: "Dòng 1: Số lượng nhập phải là số nguyên dương lớn hơn 0."</t>
        </is>
      </c>
      <c r="F18" s="125" t="inlineStr">
        <is>
          <t>- Active WarehouseStaff account is logged in.</t>
        </is>
      </c>
      <c r="G18" s="126" t="inlineStr">
        <is>
          <t>Passed</t>
        </is>
      </c>
      <c r="H18" s="134" t="n">
        <v>46228</v>
      </c>
      <c r="I18" s="127" t="inlineStr">
        <is>
          <t>ChiHTH</t>
        </is>
      </c>
      <c r="J18" s="127" t="n"/>
      <c r="K18" s="127" t="n"/>
      <c r="L18" s="127" t="n"/>
      <c r="M18" s="127" t="n"/>
      <c r="N18" s="127" t="n"/>
      <c r="O18" s="127" t="n"/>
    </row>
    <row r="19">
      <c r="B19" s="124" t="inlineStr">
        <is>
          <t>SYS_INV_09</t>
        </is>
      </c>
      <c r="C19" s="125" t="inlineStr">
        <is>
          <t>WarehouseStaff attempts to create a Goods Import Order with duplicate product IDs</t>
        </is>
      </c>
      <c r="D19" s="125" t="inlineStr">
        <is>
          <t>1. Log in as WarehouseStaff and open #importStockModal.
2. Add product "Sữa tươi Vinamilk 1L" twice as separate rows in the same import form.
3. Click "Nhập hàng" button.</t>
        </is>
      </c>
      <c r="E19" s="125" t="inlineStr">
        <is>
          <t>- Submission is blocked by backend validation.
- System displays error message: "Dòng 2: Sản phẩm ID [pId] bị lặp lại trong phiếu nhập."</t>
        </is>
      </c>
      <c r="F19" s="125" t="inlineStr">
        <is>
          <t>- Active WarehouseStaff account is logged in.</t>
        </is>
      </c>
      <c r="G19" s="126" t="inlineStr">
        <is>
          <t>Passed</t>
        </is>
      </c>
      <c r="H19" s="134" t="n">
        <v>46228</v>
      </c>
      <c r="I19" s="127" t="inlineStr">
        <is>
          <t>ChiHTH</t>
        </is>
      </c>
      <c r="J19" s="127" t="n"/>
      <c r="K19" s="127" t="n"/>
      <c r="L19" s="127" t="n"/>
      <c r="M19" s="127" t="n"/>
      <c r="N19" s="127" t="n"/>
      <c r="O19" s="127" t="n"/>
    </row>
    <row r="20">
      <c r="B20" s="124" t="inlineStr">
        <is>
          <t>SYS_INV_10</t>
        </is>
      </c>
      <c r="C20" s="125" t="inlineStr">
        <is>
          <t>WarehouseStaff searches products available for import via API (searchImportProductsApi)</t>
        </is>
      </c>
      <c r="D20" s="125" t="inlineStr">
        <is>
          <t>1. Send GET request to /inventory?action=searchImportProductsApi&amp;keyword=Vinamilk&amp;warehouseId=1.</t>
        </is>
      </c>
      <c r="E20" s="125" t="inlineStr">
        <is>
          <t>- System returns HTTP 200 OK with JSON array of matching products containing productId, productName, productCodebar, categoryName, importPrice, supplierId, and supplierName.</t>
        </is>
      </c>
      <c r="F20" s="125" t="inlineStr">
        <is>
          <t>- WarehouseStaff is logged in.
- Product and supplier records exist.</t>
        </is>
      </c>
      <c r="G20" s="126" t="inlineStr">
        <is>
          <t>Passed</t>
        </is>
      </c>
      <c r="H20" s="134" t="n">
        <v>46228</v>
      </c>
      <c r="I20" s="127" t="inlineStr">
        <is>
          <t>ChiHTH</t>
        </is>
      </c>
      <c r="J20" s="127" t="n"/>
      <c r="K20" s="127" t="n"/>
      <c r="L20" s="127" t="n"/>
      <c r="M20" s="127" t="n"/>
      <c r="N20" s="127" t="n"/>
      <c r="O20" s="127" t="n"/>
    </row>
    <row r="21"/>
    <row r="22"/>
    <row r="23"/>
    <row r="24"/>
    <row r="25"/>
    <row r="26"/>
    <row r="27"/>
    <row r="28"/>
    <row r="29"/>
    <row r="30"/>
    <row r="31"/>
    <row r="32"/>
    <row r="33"/>
    <row r="34"/>
    <row r="35"/>
    <row r="36"/>
    <row r="37"/>
    <row r="38"/>
    <row r="39"/>
  </sheetData>
  <mergeCells count="3">
    <mergeCell ref="C2:F2"/>
    <mergeCell ref="C1:F1"/>
    <mergeCell ref="C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2026-07-24T18:02:24Z</dcterms:created>
  <dcterms:modified xmlns:dcterms="http://purl.org/dc/terms/" xmlns:xsi="http://www.w3.org/2001/XMLSchema-instance" xsi:type="dcterms:W3CDTF">2026-07-25T09:40:15Z</dcterms:modified>
</cp:coreProperties>
</file>